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539aff659930fdc6/Desktop/Описание процессов ЖЦ/"/>
    </mc:Choice>
  </mc:AlternateContent>
  <xr:revisionPtr revIDLastSave="19" documentId="11_AD4DF75460589B3ACB7284AE17DC49505ADEDD9F" xr6:coauthVersionLast="45" xr6:coauthVersionMax="45" xr10:uidLastSave="{F5DC6983-C788-41B7-8AF0-EE10193DAD67}"/>
  <bookViews>
    <workbookView xWindow="-108" yWindow="-108" windowWidth="23256" windowHeight="12456" activeTab="1" xr2:uid="{00000000-000D-0000-FFFF-FFFF00000000}"/>
  </bookViews>
  <sheets>
    <sheet name="модель" sheetId="1" r:id="rId1"/>
    <sheet name="эксперимент" sheetId="2" r:id="rId2"/>
  </sheets>
  <definedNames>
    <definedName name="_xlchart.v1.0" hidden="1">модель!$X$20:$X$119</definedName>
    <definedName name="ALT">модель!$W$122</definedName>
    <definedName name="AST">модель!$W$121</definedName>
    <definedName name="closed">модель!$C$3</definedName>
    <definedName name="E1F">модель!$R$121</definedName>
    <definedName name="E2F">модель!$R$122</definedName>
    <definedName name="E3F">модель!$R$123</definedName>
    <definedName name="MXQ">модель!$Z$122</definedName>
    <definedName name="NLC">модель!$H$121</definedName>
    <definedName name="renegat">модель!$E$3</definedName>
    <definedName name="RUNC">эксперимент!$C$2</definedName>
    <definedName name="SRVT">модель!$B$9:$D$12</definedName>
    <definedName name="start">модель!$A$3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1" i="2" l="1"/>
  <c r="H101" i="2"/>
  <c r="D101" i="2"/>
  <c r="G101" i="2"/>
  <c r="F101" i="2"/>
  <c r="E101" i="2"/>
  <c r="C101" i="2"/>
  <c r="B101" i="2"/>
  <c r="B52" i="2" l="1"/>
  <c r="B51" i="2"/>
  <c r="B53" i="2" s="1"/>
  <c r="C51" i="2" l="1"/>
  <c r="C52" i="2" l="1"/>
  <c r="C53" i="2" l="1"/>
  <c r="C54" i="2" l="1"/>
  <c r="C55" i="2" l="1"/>
  <c r="C56" i="2" l="1"/>
  <c r="C57" i="2" l="1"/>
  <c r="D51" i="2" s="1" a="1"/>
  <c r="D51" i="2" l="1"/>
  <c r="D57" i="2"/>
  <c r="D56" i="2"/>
  <c r="D55" i="2"/>
  <c r="D54" i="2"/>
  <c r="D53" i="2"/>
  <c r="D52" i="2"/>
  <c r="I48" i="2" l="1"/>
  <c r="H48" i="2"/>
  <c r="D48" i="2"/>
  <c r="G48" i="2"/>
  <c r="F48" i="2"/>
  <c r="E48" i="2"/>
  <c r="C48" i="2"/>
  <c r="B48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B70" i="1"/>
  <c r="C70" i="1" s="1"/>
  <c r="D70" i="1"/>
  <c r="E70" i="1" s="1"/>
  <c r="B71" i="1"/>
  <c r="C71" i="1" s="1"/>
  <c r="D71" i="1"/>
  <c r="E71" i="1" s="1"/>
  <c r="B72" i="1"/>
  <c r="C72" i="1" s="1"/>
  <c r="D72" i="1"/>
  <c r="E72" i="1" s="1"/>
  <c r="B73" i="1"/>
  <c r="C73" i="1" s="1"/>
  <c r="D73" i="1"/>
  <c r="E73" i="1" s="1"/>
  <c r="B74" i="1"/>
  <c r="C74" i="1" s="1"/>
  <c r="D74" i="1"/>
  <c r="E74" i="1" s="1"/>
  <c r="B75" i="1"/>
  <c r="C75" i="1" s="1"/>
  <c r="D75" i="1"/>
  <c r="E75" i="1" s="1"/>
  <c r="B76" i="1"/>
  <c r="C76" i="1" s="1"/>
  <c r="D76" i="1"/>
  <c r="E76" i="1" s="1"/>
  <c r="B77" i="1"/>
  <c r="C77" i="1" s="1"/>
  <c r="D77" i="1"/>
  <c r="E77" i="1" s="1"/>
  <c r="B78" i="1"/>
  <c r="C78" i="1" s="1"/>
  <c r="D78" i="1"/>
  <c r="E78" i="1" s="1"/>
  <c r="B79" i="1"/>
  <c r="C79" i="1" s="1"/>
  <c r="D79" i="1"/>
  <c r="E79" i="1" s="1"/>
  <c r="B80" i="1"/>
  <c r="C80" i="1" s="1"/>
  <c r="D80" i="1"/>
  <c r="E80" i="1" s="1"/>
  <c r="B81" i="1"/>
  <c r="C81" i="1" s="1"/>
  <c r="D81" i="1"/>
  <c r="E81" i="1" s="1"/>
  <c r="B82" i="1"/>
  <c r="C82" i="1" s="1"/>
  <c r="D82" i="1"/>
  <c r="E82" i="1" s="1"/>
  <c r="B83" i="1"/>
  <c r="C83" i="1" s="1"/>
  <c r="D83" i="1"/>
  <c r="E83" i="1" s="1"/>
  <c r="B84" i="1"/>
  <c r="C84" i="1" s="1"/>
  <c r="D84" i="1"/>
  <c r="E84" i="1" s="1"/>
  <c r="B85" i="1"/>
  <c r="C85" i="1" s="1"/>
  <c r="D85" i="1"/>
  <c r="E85" i="1" s="1"/>
  <c r="B86" i="1"/>
  <c r="C86" i="1" s="1"/>
  <c r="D86" i="1"/>
  <c r="E86" i="1" s="1"/>
  <c r="B87" i="1"/>
  <c r="C87" i="1" s="1"/>
  <c r="D87" i="1"/>
  <c r="E87" i="1" s="1"/>
  <c r="B88" i="1"/>
  <c r="C88" i="1" s="1"/>
  <c r="D88" i="1"/>
  <c r="E88" i="1" s="1"/>
  <c r="B89" i="1"/>
  <c r="C89" i="1" s="1"/>
  <c r="D89" i="1"/>
  <c r="E89" i="1" s="1"/>
  <c r="B90" i="1"/>
  <c r="C90" i="1" s="1"/>
  <c r="D90" i="1"/>
  <c r="E90" i="1" s="1"/>
  <c r="B91" i="1"/>
  <c r="C91" i="1" s="1"/>
  <c r="D91" i="1"/>
  <c r="E91" i="1" s="1"/>
  <c r="B92" i="1"/>
  <c r="C92" i="1" s="1"/>
  <c r="D92" i="1"/>
  <c r="E92" i="1" s="1"/>
  <c r="B93" i="1"/>
  <c r="C93" i="1" s="1"/>
  <c r="D93" i="1"/>
  <c r="E93" i="1" s="1"/>
  <c r="B94" i="1"/>
  <c r="C94" i="1" s="1"/>
  <c r="D94" i="1"/>
  <c r="E94" i="1" s="1"/>
  <c r="B95" i="1"/>
  <c r="C95" i="1" s="1"/>
  <c r="D95" i="1"/>
  <c r="E95" i="1" s="1"/>
  <c r="B96" i="1"/>
  <c r="C96" i="1" s="1"/>
  <c r="D96" i="1"/>
  <c r="E96" i="1" s="1"/>
  <c r="B97" i="1"/>
  <c r="C97" i="1" s="1"/>
  <c r="D97" i="1"/>
  <c r="E97" i="1" s="1"/>
  <c r="B98" i="1"/>
  <c r="C98" i="1" s="1"/>
  <c r="D98" i="1"/>
  <c r="E98" i="1" s="1"/>
  <c r="B99" i="1"/>
  <c r="C99" i="1" s="1"/>
  <c r="D99" i="1"/>
  <c r="E99" i="1" s="1"/>
  <c r="B100" i="1"/>
  <c r="C100" i="1" s="1"/>
  <c r="D100" i="1"/>
  <c r="E100" i="1" s="1"/>
  <c r="B101" i="1"/>
  <c r="C101" i="1" s="1"/>
  <c r="D101" i="1"/>
  <c r="E101" i="1" s="1"/>
  <c r="B102" i="1"/>
  <c r="C102" i="1" s="1"/>
  <c r="D102" i="1"/>
  <c r="E102" i="1" s="1"/>
  <c r="B103" i="1"/>
  <c r="C103" i="1" s="1"/>
  <c r="D103" i="1"/>
  <c r="E103" i="1" s="1"/>
  <c r="B104" i="1"/>
  <c r="C104" i="1" s="1"/>
  <c r="D104" i="1"/>
  <c r="E104" i="1" s="1"/>
  <c r="B105" i="1"/>
  <c r="C105" i="1" s="1"/>
  <c r="D105" i="1"/>
  <c r="E105" i="1" s="1"/>
  <c r="B106" i="1"/>
  <c r="C106" i="1" s="1"/>
  <c r="D106" i="1"/>
  <c r="E106" i="1" s="1"/>
  <c r="B107" i="1"/>
  <c r="C107" i="1" s="1"/>
  <c r="D107" i="1"/>
  <c r="E107" i="1" s="1"/>
  <c r="B108" i="1"/>
  <c r="C108" i="1" s="1"/>
  <c r="D108" i="1"/>
  <c r="E108" i="1" s="1"/>
  <c r="B109" i="1"/>
  <c r="C109" i="1" s="1"/>
  <c r="D109" i="1"/>
  <c r="E109" i="1" s="1"/>
  <c r="B110" i="1"/>
  <c r="C110" i="1" s="1"/>
  <c r="D110" i="1"/>
  <c r="E110" i="1" s="1"/>
  <c r="B111" i="1"/>
  <c r="C111" i="1" s="1"/>
  <c r="D111" i="1"/>
  <c r="E111" i="1" s="1"/>
  <c r="B112" i="1"/>
  <c r="C112" i="1" s="1"/>
  <c r="D112" i="1"/>
  <c r="E112" i="1" s="1"/>
  <c r="B113" i="1"/>
  <c r="C113" i="1" s="1"/>
  <c r="D113" i="1"/>
  <c r="E113" i="1" s="1"/>
  <c r="B114" i="1"/>
  <c r="C114" i="1" s="1"/>
  <c r="D114" i="1"/>
  <c r="E114" i="1" s="1"/>
  <c r="B115" i="1"/>
  <c r="C115" i="1" s="1"/>
  <c r="D115" i="1"/>
  <c r="E115" i="1" s="1"/>
  <c r="B116" i="1"/>
  <c r="C116" i="1" s="1"/>
  <c r="D116" i="1"/>
  <c r="E116" i="1" s="1"/>
  <c r="B117" i="1"/>
  <c r="C117" i="1" s="1"/>
  <c r="D117" i="1"/>
  <c r="E117" i="1" s="1"/>
  <c r="B118" i="1"/>
  <c r="C118" i="1" s="1"/>
  <c r="D118" i="1"/>
  <c r="E118" i="1" s="1"/>
  <c r="B119" i="1"/>
  <c r="C119" i="1" s="1"/>
  <c r="D119" i="1"/>
  <c r="E119" i="1" s="1"/>
  <c r="B22" i="1" l="1"/>
  <c r="C22" i="1" s="1"/>
  <c r="D22" i="1"/>
  <c r="E22" i="1" s="1"/>
  <c r="B23" i="1"/>
  <c r="C23" i="1" s="1"/>
  <c r="D23" i="1"/>
  <c r="E23" i="1" s="1"/>
  <c r="B24" i="1"/>
  <c r="C24" i="1" s="1"/>
  <c r="D24" i="1"/>
  <c r="E24" i="1" s="1"/>
  <c r="B25" i="1"/>
  <c r="C25" i="1" s="1"/>
  <c r="D25" i="1"/>
  <c r="E25" i="1" s="1"/>
  <c r="B26" i="1"/>
  <c r="C26" i="1" s="1"/>
  <c r="D26" i="1"/>
  <c r="E26" i="1" s="1"/>
  <c r="B27" i="1"/>
  <c r="C27" i="1" s="1"/>
  <c r="D27" i="1"/>
  <c r="E27" i="1" s="1"/>
  <c r="B28" i="1"/>
  <c r="C28" i="1" s="1"/>
  <c r="D28" i="1"/>
  <c r="E28" i="1" s="1"/>
  <c r="B29" i="1"/>
  <c r="C29" i="1" s="1"/>
  <c r="D29" i="1"/>
  <c r="E29" i="1" s="1"/>
  <c r="B30" i="1"/>
  <c r="C30" i="1" s="1"/>
  <c r="D30" i="1"/>
  <c r="E30" i="1" s="1"/>
  <c r="B31" i="1"/>
  <c r="C31" i="1" s="1"/>
  <c r="D31" i="1"/>
  <c r="E31" i="1" s="1"/>
  <c r="B32" i="1"/>
  <c r="C32" i="1" s="1"/>
  <c r="D32" i="1"/>
  <c r="E32" i="1" s="1"/>
  <c r="B33" i="1"/>
  <c r="C33" i="1" s="1"/>
  <c r="D33" i="1"/>
  <c r="E33" i="1" s="1"/>
  <c r="B34" i="1"/>
  <c r="C34" i="1" s="1"/>
  <c r="D34" i="1"/>
  <c r="E34" i="1" s="1"/>
  <c r="B35" i="1"/>
  <c r="C35" i="1" s="1"/>
  <c r="D35" i="1"/>
  <c r="E35" i="1" s="1"/>
  <c r="B36" i="1"/>
  <c r="C36" i="1" s="1"/>
  <c r="D36" i="1"/>
  <c r="E36" i="1" s="1"/>
  <c r="B37" i="1"/>
  <c r="C37" i="1" s="1"/>
  <c r="D37" i="1"/>
  <c r="E37" i="1" s="1"/>
  <c r="B38" i="1"/>
  <c r="C38" i="1" s="1"/>
  <c r="D38" i="1"/>
  <c r="E38" i="1" s="1"/>
  <c r="B39" i="1"/>
  <c r="C39" i="1" s="1"/>
  <c r="D39" i="1"/>
  <c r="E39" i="1" s="1"/>
  <c r="B40" i="1"/>
  <c r="C40" i="1" s="1"/>
  <c r="D40" i="1"/>
  <c r="E40" i="1" s="1"/>
  <c r="B41" i="1"/>
  <c r="C41" i="1" s="1"/>
  <c r="D41" i="1"/>
  <c r="E41" i="1" s="1"/>
  <c r="B42" i="1"/>
  <c r="C42" i="1" s="1"/>
  <c r="D42" i="1"/>
  <c r="E42" i="1" s="1"/>
  <c r="B43" i="1"/>
  <c r="C43" i="1" s="1"/>
  <c r="D43" i="1"/>
  <c r="E43" i="1" s="1"/>
  <c r="B44" i="1"/>
  <c r="C44" i="1" s="1"/>
  <c r="D44" i="1"/>
  <c r="E44" i="1" s="1"/>
  <c r="B45" i="1"/>
  <c r="C45" i="1" s="1"/>
  <c r="D45" i="1"/>
  <c r="E45" i="1" s="1"/>
  <c r="B46" i="1"/>
  <c r="C46" i="1" s="1"/>
  <c r="D46" i="1"/>
  <c r="E46" i="1" s="1"/>
  <c r="B47" i="1"/>
  <c r="C47" i="1" s="1"/>
  <c r="D47" i="1"/>
  <c r="E47" i="1" s="1"/>
  <c r="B48" i="1"/>
  <c r="C48" i="1" s="1"/>
  <c r="D48" i="1"/>
  <c r="E48" i="1" s="1"/>
  <c r="B49" i="1"/>
  <c r="C49" i="1" s="1"/>
  <c r="D49" i="1"/>
  <c r="E49" i="1" s="1"/>
  <c r="B50" i="1"/>
  <c r="C50" i="1" s="1"/>
  <c r="D50" i="1"/>
  <c r="E50" i="1" s="1"/>
  <c r="B51" i="1"/>
  <c r="C51" i="1" s="1"/>
  <c r="D51" i="1"/>
  <c r="E51" i="1" s="1"/>
  <c r="B52" i="1"/>
  <c r="C52" i="1" s="1"/>
  <c r="D52" i="1"/>
  <c r="E52" i="1" s="1"/>
  <c r="B53" i="1"/>
  <c r="C53" i="1" s="1"/>
  <c r="D53" i="1"/>
  <c r="E53" i="1" s="1"/>
  <c r="B54" i="1"/>
  <c r="C54" i="1" s="1"/>
  <c r="D54" i="1"/>
  <c r="E54" i="1" s="1"/>
  <c r="B55" i="1"/>
  <c r="C55" i="1" s="1"/>
  <c r="D55" i="1"/>
  <c r="E55" i="1" s="1"/>
  <c r="B56" i="1"/>
  <c r="C56" i="1" s="1"/>
  <c r="D56" i="1"/>
  <c r="E56" i="1" s="1"/>
  <c r="B57" i="1"/>
  <c r="C57" i="1" s="1"/>
  <c r="D57" i="1"/>
  <c r="E57" i="1" s="1"/>
  <c r="B58" i="1"/>
  <c r="C58" i="1" s="1"/>
  <c r="D58" i="1"/>
  <c r="E58" i="1" s="1"/>
  <c r="B59" i="1"/>
  <c r="C59" i="1" s="1"/>
  <c r="D59" i="1"/>
  <c r="E59" i="1" s="1"/>
  <c r="B60" i="1"/>
  <c r="C60" i="1" s="1"/>
  <c r="D60" i="1"/>
  <c r="E60" i="1" s="1"/>
  <c r="B61" i="1"/>
  <c r="C61" i="1" s="1"/>
  <c r="D61" i="1"/>
  <c r="E61" i="1" s="1"/>
  <c r="B62" i="1"/>
  <c r="C62" i="1" s="1"/>
  <c r="D62" i="1"/>
  <c r="E62" i="1" s="1"/>
  <c r="B63" i="1"/>
  <c r="C63" i="1" s="1"/>
  <c r="D63" i="1"/>
  <c r="E63" i="1" s="1"/>
  <c r="B64" i="1"/>
  <c r="C64" i="1" s="1"/>
  <c r="D64" i="1"/>
  <c r="E64" i="1" s="1"/>
  <c r="B65" i="1"/>
  <c r="C65" i="1" s="1"/>
  <c r="D65" i="1"/>
  <c r="E65" i="1" s="1"/>
  <c r="B66" i="1"/>
  <c r="C66" i="1" s="1"/>
  <c r="D66" i="1"/>
  <c r="E66" i="1" s="1"/>
  <c r="B67" i="1"/>
  <c r="C67" i="1" s="1"/>
  <c r="D67" i="1"/>
  <c r="E67" i="1" s="1"/>
  <c r="B68" i="1"/>
  <c r="C68" i="1" s="1"/>
  <c r="D68" i="1"/>
  <c r="E68" i="1" s="1"/>
  <c r="B69" i="1"/>
  <c r="C69" i="1" s="1"/>
  <c r="D69" i="1"/>
  <c r="E69" i="1" s="1"/>
  <c r="T19" i="1"/>
  <c r="R19" i="1"/>
  <c r="P19" i="1"/>
  <c r="F19" i="1"/>
  <c r="D21" i="1"/>
  <c r="E21" i="1" s="1"/>
  <c r="D20" i="1"/>
  <c r="E20" i="1" s="1"/>
  <c r="B21" i="1"/>
  <c r="C21" i="1" s="1"/>
  <c r="B20" i="1"/>
  <c r="C20" i="1" s="1"/>
  <c r="F20" i="1" s="1"/>
  <c r="F21" i="1" l="1"/>
  <c r="A21" i="1" s="1"/>
  <c r="L20" i="1"/>
  <c r="K20" i="1"/>
  <c r="J20" i="1"/>
  <c r="F22" i="1" l="1"/>
  <c r="A22" i="1" s="1"/>
  <c r="M20" i="1"/>
  <c r="F23" i="1" l="1"/>
  <c r="A23" i="1" s="1"/>
  <c r="G20" i="1"/>
  <c r="H20" i="1" s="1"/>
  <c r="Z21" i="1"/>
  <c r="F24" i="1" l="1"/>
  <c r="A24" i="1" s="1"/>
  <c r="U20" i="1"/>
  <c r="X20" i="1"/>
  <c r="N20" i="1"/>
  <c r="I20" i="1"/>
  <c r="V20" i="1" s="1"/>
  <c r="F25" i="1" l="1"/>
  <c r="F26" i="1" s="1"/>
  <c r="R20" i="1"/>
  <c r="K21" i="1" s="1"/>
  <c r="O20" i="1"/>
  <c r="P20" i="1" s="1"/>
  <c r="J21" i="1" s="1"/>
  <c r="Q20" i="1"/>
  <c r="T20" i="1"/>
  <c r="L21" i="1" s="1"/>
  <c r="S20" i="1"/>
  <c r="A25" i="1" l="1"/>
  <c r="A26" i="1" s="1"/>
  <c r="F27" i="1"/>
  <c r="Y20" i="1"/>
  <c r="W20" i="1" s="1"/>
  <c r="M21" i="1"/>
  <c r="G21" i="1" l="1"/>
  <c r="H21" i="1" s="1"/>
  <c r="Z22" i="1"/>
  <c r="F28" i="1"/>
  <c r="A27" i="1"/>
  <c r="X21" i="1" l="1"/>
  <c r="N21" i="1"/>
  <c r="U21" i="1"/>
  <c r="I21" i="1"/>
  <c r="V21" i="1" s="1"/>
  <c r="A28" i="1"/>
  <c r="F29" i="1"/>
  <c r="S21" i="1" l="1"/>
  <c r="T21" i="1"/>
  <c r="L22" i="1" s="1"/>
  <c r="Q21" i="1"/>
  <c r="R21" i="1" s="1"/>
  <c r="K22" i="1" s="1"/>
  <c r="O21" i="1"/>
  <c r="P21" i="1" s="1"/>
  <c r="J22" i="1" s="1"/>
  <c r="A29" i="1"/>
  <c r="F30" i="1"/>
  <c r="M22" i="1" l="1"/>
  <c r="G22" i="1" s="1"/>
  <c r="H22" i="1" s="1"/>
  <c r="Y21" i="1"/>
  <c r="W21" i="1" s="1"/>
  <c r="A30" i="1"/>
  <c r="F31" i="1"/>
  <c r="Z23" i="1" l="1"/>
  <c r="F32" i="1"/>
  <c r="A31" i="1"/>
  <c r="I22" i="1"/>
  <c r="V22" i="1" s="1"/>
  <c r="U22" i="1"/>
  <c r="X22" i="1"/>
  <c r="N22" i="1"/>
  <c r="O22" i="1" l="1"/>
  <c r="P22" i="1" s="1"/>
  <c r="Q22" i="1"/>
  <c r="R22" i="1" s="1"/>
  <c r="S22" i="1"/>
  <c r="T22" i="1" s="1"/>
  <c r="F33" i="1"/>
  <c r="A32" i="1"/>
  <c r="F34" i="1" l="1"/>
  <c r="A33" i="1"/>
  <c r="L23" i="1"/>
  <c r="Y22" i="1"/>
  <c r="W22" i="1" s="1"/>
  <c r="K23" i="1"/>
  <c r="J23" i="1"/>
  <c r="M23" i="1" l="1"/>
  <c r="G23" i="1" s="1"/>
  <c r="H23" i="1" s="1"/>
  <c r="A34" i="1"/>
  <c r="F35" i="1"/>
  <c r="Z24" i="1" l="1"/>
  <c r="A35" i="1"/>
  <c r="F36" i="1"/>
  <c r="I23" i="1"/>
  <c r="V23" i="1" s="1"/>
  <c r="N23" i="1"/>
  <c r="U23" i="1" l="1"/>
  <c r="A36" i="1"/>
  <c r="F37" i="1"/>
  <c r="O23" i="1"/>
  <c r="P23" i="1" s="1"/>
  <c r="Q23" i="1"/>
  <c r="R23" i="1" s="1"/>
  <c r="S23" i="1"/>
  <c r="T23" i="1" s="1"/>
  <c r="J24" i="1" l="1"/>
  <c r="F38" i="1"/>
  <c r="A37" i="1"/>
  <c r="L24" i="1"/>
  <c r="Y23" i="1"/>
  <c r="W23" i="1" s="1"/>
  <c r="X23" i="1" s="1"/>
  <c r="K24" i="1"/>
  <c r="M24" i="1" l="1"/>
  <c r="F39" i="1"/>
  <c r="A38" i="1"/>
  <c r="F40" i="1" l="1"/>
  <c r="A39" i="1"/>
  <c r="G24" i="1"/>
  <c r="H24" i="1" s="1"/>
  <c r="Z25" i="1"/>
  <c r="I24" i="1" l="1"/>
  <c r="V24" i="1" s="1"/>
  <c r="N24" i="1"/>
  <c r="A40" i="1"/>
  <c r="F41" i="1"/>
  <c r="U24" i="1" l="1"/>
  <c r="O24" i="1"/>
  <c r="P24" i="1" s="1"/>
  <c r="Q24" i="1"/>
  <c r="R24" i="1" s="1"/>
  <c r="S24" i="1"/>
  <c r="T24" i="1" s="1"/>
  <c r="A41" i="1"/>
  <c r="F42" i="1"/>
  <c r="J25" i="1" l="1"/>
  <c r="Y24" i="1"/>
  <c r="W24" i="1" s="1"/>
  <c r="X24" i="1" s="1"/>
  <c r="L25" i="1"/>
  <c r="K25" i="1"/>
  <c r="A42" i="1"/>
  <c r="F43" i="1"/>
  <c r="F44" i="1" l="1"/>
  <c r="A43" i="1"/>
  <c r="M25" i="1"/>
  <c r="G25" i="1" l="1"/>
  <c r="H25" i="1" s="1"/>
  <c r="Z26" i="1"/>
  <c r="A44" i="1"/>
  <c r="F45" i="1"/>
  <c r="F46" i="1" l="1"/>
  <c r="A45" i="1"/>
  <c r="I25" i="1"/>
  <c r="V25" i="1" s="1"/>
  <c r="N25" i="1"/>
  <c r="U25" i="1" l="1"/>
  <c r="A46" i="1"/>
  <c r="F47" i="1"/>
  <c r="S25" i="1"/>
  <c r="T25" i="1" s="1"/>
  <c r="O25" i="1"/>
  <c r="P25" i="1" s="1"/>
  <c r="Q25" i="1"/>
  <c r="R25" i="1" s="1"/>
  <c r="Y25" i="1" l="1"/>
  <c r="W25" i="1" s="1"/>
  <c r="X25" i="1" s="1"/>
  <c r="L26" i="1"/>
  <c r="A47" i="1"/>
  <c r="F48" i="1"/>
  <c r="K26" i="1"/>
  <c r="J26" i="1"/>
  <c r="A48" i="1" l="1"/>
  <c r="F49" i="1"/>
  <c r="M26" i="1"/>
  <c r="A49" i="1" l="1"/>
  <c r="F50" i="1"/>
  <c r="G26" i="1"/>
  <c r="H26" i="1" s="1"/>
  <c r="Z27" i="1"/>
  <c r="I26" i="1" l="1"/>
  <c r="V26" i="1" s="1"/>
  <c r="N26" i="1"/>
  <c r="A50" i="1"/>
  <c r="F51" i="1"/>
  <c r="U26" i="1" l="1"/>
  <c r="Q26" i="1"/>
  <c r="R26" i="1" s="1"/>
  <c r="S26" i="1"/>
  <c r="T26" i="1" s="1"/>
  <c r="O26" i="1"/>
  <c r="P26" i="1" s="1"/>
  <c r="F52" i="1"/>
  <c r="A51" i="1"/>
  <c r="Y26" i="1" l="1"/>
  <c r="W26" i="1" s="1"/>
  <c r="X26" i="1" s="1"/>
  <c r="J27" i="1"/>
  <c r="A52" i="1"/>
  <c r="F53" i="1"/>
  <c r="L27" i="1"/>
  <c r="K27" i="1"/>
  <c r="A53" i="1" l="1"/>
  <c r="F54" i="1"/>
  <c r="M27" i="1"/>
  <c r="G27" i="1" l="1"/>
  <c r="H27" i="1" s="1"/>
  <c r="Z28" i="1"/>
  <c r="A54" i="1"/>
  <c r="F55" i="1"/>
  <c r="A55" i="1" l="1"/>
  <c r="F56" i="1"/>
  <c r="I27" i="1"/>
  <c r="V27" i="1" s="1"/>
  <c r="N27" i="1"/>
  <c r="U27" i="1" l="1"/>
  <c r="F57" i="1"/>
  <c r="A56" i="1"/>
  <c r="O27" i="1"/>
  <c r="P27" i="1" s="1"/>
  <c r="Q27" i="1"/>
  <c r="R27" i="1" s="1"/>
  <c r="S27" i="1"/>
  <c r="T27" i="1" s="1"/>
  <c r="L28" i="1" l="1"/>
  <c r="J28" i="1"/>
  <c r="F58" i="1"/>
  <c r="A57" i="1"/>
  <c r="Y27" i="1"/>
  <c r="W27" i="1" s="1"/>
  <c r="X27" i="1" s="1"/>
  <c r="K28" i="1"/>
  <c r="A58" i="1" l="1"/>
  <c r="F59" i="1"/>
  <c r="M28" i="1"/>
  <c r="G28" i="1" l="1"/>
  <c r="H28" i="1" s="1"/>
  <c r="Z29" i="1"/>
  <c r="A59" i="1"/>
  <c r="F60" i="1"/>
  <c r="F61" i="1" l="1"/>
  <c r="A60" i="1"/>
  <c r="I28" i="1"/>
  <c r="V28" i="1" s="1"/>
  <c r="N28" i="1"/>
  <c r="U28" i="1" l="1"/>
  <c r="A61" i="1"/>
  <c r="F62" i="1"/>
  <c r="O28" i="1"/>
  <c r="P28" i="1" s="1"/>
  <c r="Q28" i="1"/>
  <c r="R28" i="1" s="1"/>
  <c r="S28" i="1"/>
  <c r="T28" i="1" s="1"/>
  <c r="J29" i="1" l="1"/>
  <c r="Y28" i="1"/>
  <c r="W28" i="1" s="1"/>
  <c r="X28" i="1" s="1"/>
  <c r="F63" i="1"/>
  <c r="A62" i="1"/>
  <c r="L29" i="1"/>
  <c r="K29" i="1"/>
  <c r="F64" i="1" l="1"/>
  <c r="A63" i="1"/>
  <c r="M29" i="1"/>
  <c r="G29" i="1" l="1"/>
  <c r="H29" i="1" s="1"/>
  <c r="Z30" i="1"/>
  <c r="A64" i="1"/>
  <c r="F65" i="1"/>
  <c r="A65" i="1" l="1"/>
  <c r="F66" i="1"/>
  <c r="I29" i="1"/>
  <c r="V29" i="1" s="1"/>
  <c r="N29" i="1"/>
  <c r="U29" i="1" l="1"/>
  <c r="A66" i="1"/>
  <c r="F67" i="1"/>
  <c r="O29" i="1"/>
  <c r="P29" i="1" s="1"/>
  <c r="Q29" i="1"/>
  <c r="R29" i="1" s="1"/>
  <c r="S29" i="1"/>
  <c r="T29" i="1" s="1"/>
  <c r="K30" i="1" l="1"/>
  <c r="Y29" i="1"/>
  <c r="W29" i="1" s="1"/>
  <c r="X29" i="1" s="1"/>
  <c r="J30" i="1"/>
  <c r="A67" i="1"/>
  <c r="F68" i="1"/>
  <c r="L30" i="1"/>
  <c r="M30" i="1" l="1"/>
  <c r="G30" i="1" s="1"/>
  <c r="H30" i="1" s="1"/>
  <c r="F69" i="1"/>
  <c r="F70" i="1" s="1"/>
  <c r="A68" i="1"/>
  <c r="F71" i="1" l="1"/>
  <c r="Z31" i="1"/>
  <c r="I30" i="1"/>
  <c r="V30" i="1" s="1"/>
  <c r="N30" i="1"/>
  <c r="A69" i="1"/>
  <c r="A70" i="1" s="1"/>
  <c r="F72" i="1" l="1"/>
  <c r="A71" i="1"/>
  <c r="U30" i="1"/>
  <c r="O30" i="1"/>
  <c r="P30" i="1" s="1"/>
  <c r="Q30" i="1"/>
  <c r="R30" i="1" s="1"/>
  <c r="S30" i="1"/>
  <c r="T30" i="1" s="1"/>
  <c r="A72" i="1" l="1"/>
  <c r="F73" i="1"/>
  <c r="Y30" i="1"/>
  <c r="W30" i="1" s="1"/>
  <c r="X30" i="1" s="1"/>
  <c r="K31" i="1"/>
  <c r="J31" i="1"/>
  <c r="L31" i="1"/>
  <c r="F74" i="1" l="1"/>
  <c r="A73" i="1"/>
  <c r="M31" i="1"/>
  <c r="A74" i="1" l="1"/>
  <c r="F75" i="1"/>
  <c r="G31" i="1"/>
  <c r="H31" i="1" s="1"/>
  <c r="N31" i="1" s="1"/>
  <c r="Z32" i="1"/>
  <c r="I31" i="1" l="1"/>
  <c r="V31" i="1" s="1"/>
  <c r="A75" i="1"/>
  <c r="F76" i="1"/>
  <c r="S31" i="1"/>
  <c r="T31" i="1" s="1"/>
  <c r="O31" i="1"/>
  <c r="P31" i="1" s="1"/>
  <c r="Q31" i="1"/>
  <c r="R31" i="1" s="1"/>
  <c r="U31" i="1" l="1"/>
  <c r="A76" i="1"/>
  <c r="F77" i="1"/>
  <c r="Y31" i="1"/>
  <c r="W31" i="1" s="1"/>
  <c r="X31" i="1" s="1"/>
  <c r="K32" i="1"/>
  <c r="J32" i="1"/>
  <c r="L32" i="1"/>
  <c r="A77" i="1" l="1"/>
  <c r="F78" i="1"/>
  <c r="M32" i="1"/>
  <c r="A78" i="1" l="1"/>
  <c r="F79" i="1"/>
  <c r="G32" i="1"/>
  <c r="H32" i="1" s="1"/>
  <c r="Z33" i="1"/>
  <c r="A79" i="1" l="1"/>
  <c r="F80" i="1"/>
  <c r="I32" i="1"/>
  <c r="V32" i="1" s="1"/>
  <c r="N32" i="1"/>
  <c r="A80" i="1" l="1"/>
  <c r="F81" i="1"/>
  <c r="U32" i="1"/>
  <c r="Q32" i="1"/>
  <c r="R32" i="1" s="1"/>
  <c r="S32" i="1"/>
  <c r="T32" i="1" s="1"/>
  <c r="O32" i="1"/>
  <c r="P32" i="1" s="1"/>
  <c r="A81" i="1" l="1"/>
  <c r="F82" i="1"/>
  <c r="L33" i="1"/>
  <c r="J33" i="1"/>
  <c r="K33" i="1"/>
  <c r="Y32" i="1"/>
  <c r="W32" i="1" s="1"/>
  <c r="X32" i="1" s="1"/>
  <c r="A82" i="1" l="1"/>
  <c r="F83" i="1"/>
  <c r="M33" i="1"/>
  <c r="A83" i="1" l="1"/>
  <c r="F84" i="1"/>
  <c r="G33" i="1"/>
  <c r="H33" i="1" s="1"/>
  <c r="Z34" i="1"/>
  <c r="A84" i="1" l="1"/>
  <c r="F85" i="1"/>
  <c r="I33" i="1"/>
  <c r="V33" i="1" s="1"/>
  <c r="N33" i="1"/>
  <c r="F86" i="1" l="1"/>
  <c r="A85" i="1"/>
  <c r="U33" i="1"/>
  <c r="O33" i="1"/>
  <c r="P33" i="1" s="1"/>
  <c r="Q33" i="1"/>
  <c r="R33" i="1" s="1"/>
  <c r="S33" i="1"/>
  <c r="T33" i="1" s="1"/>
  <c r="F87" i="1" l="1"/>
  <c r="A86" i="1"/>
  <c r="K34" i="1"/>
  <c r="L34" i="1"/>
  <c r="J34" i="1"/>
  <c r="Y33" i="1"/>
  <c r="W33" i="1" s="1"/>
  <c r="X33" i="1" s="1"/>
  <c r="F88" i="1" l="1"/>
  <c r="A87" i="1"/>
  <c r="M34" i="1"/>
  <c r="Z35" i="1" s="1"/>
  <c r="A88" i="1" l="1"/>
  <c r="F89" i="1"/>
  <c r="G34" i="1"/>
  <c r="H34" i="1" s="1"/>
  <c r="I34" i="1" s="1"/>
  <c r="V34" i="1" s="1"/>
  <c r="N34" i="1" l="1"/>
  <c r="O34" i="1" s="1"/>
  <c r="P34" i="1" s="1"/>
  <c r="F90" i="1"/>
  <c r="A89" i="1"/>
  <c r="U34" i="1"/>
  <c r="S34" i="1" l="1"/>
  <c r="T34" i="1" s="1"/>
  <c r="L35" i="1" s="1"/>
  <c r="Q34" i="1"/>
  <c r="R34" i="1" s="1"/>
  <c r="K35" i="1" s="1"/>
  <c r="F91" i="1"/>
  <c r="A90" i="1"/>
  <c r="J35" i="1"/>
  <c r="Y34" i="1" l="1"/>
  <c r="W34" i="1" s="1"/>
  <c r="X34" i="1" s="1"/>
  <c r="F92" i="1"/>
  <c r="A91" i="1"/>
  <c r="M35" i="1"/>
  <c r="F93" i="1" l="1"/>
  <c r="A92" i="1"/>
  <c r="Z36" i="1"/>
  <c r="G35" i="1"/>
  <c r="H35" i="1" s="1"/>
  <c r="F94" i="1" l="1"/>
  <c r="A93" i="1"/>
  <c r="N35" i="1"/>
  <c r="Q35" i="1" s="1"/>
  <c r="R35" i="1" s="1"/>
  <c r="I35" i="1"/>
  <c r="V35" i="1" s="1"/>
  <c r="U35" i="1" l="1"/>
  <c r="O35" i="1"/>
  <c r="P35" i="1" s="1"/>
  <c r="J36" i="1" s="1"/>
  <c r="A94" i="1"/>
  <c r="F95" i="1"/>
  <c r="S35" i="1"/>
  <c r="T35" i="1" s="1"/>
  <c r="K36" i="1"/>
  <c r="Y35" i="1" l="1"/>
  <c r="W35" i="1" s="1"/>
  <c r="X35" i="1" s="1"/>
  <c r="F96" i="1"/>
  <c r="A95" i="1"/>
  <c r="L36" i="1"/>
  <c r="M36" i="1" s="1"/>
  <c r="G36" i="1" s="1"/>
  <c r="H36" i="1" s="1"/>
  <c r="F97" i="1" l="1"/>
  <c r="A96" i="1"/>
  <c r="Z37" i="1"/>
  <c r="I36" i="1"/>
  <c r="V36" i="1" s="1"/>
  <c r="N36" i="1"/>
  <c r="U36" i="1" l="1"/>
  <c r="F98" i="1"/>
  <c r="A97" i="1"/>
  <c r="O36" i="1"/>
  <c r="P36" i="1" s="1"/>
  <c r="Q36" i="1"/>
  <c r="R36" i="1" s="1"/>
  <c r="S36" i="1"/>
  <c r="T36" i="1" s="1"/>
  <c r="F99" i="1" l="1"/>
  <c r="A98" i="1"/>
  <c r="J37" i="1"/>
  <c r="K37" i="1"/>
  <c r="Y36" i="1"/>
  <c r="W36" i="1" s="1"/>
  <c r="X36" i="1" s="1"/>
  <c r="L37" i="1"/>
  <c r="F100" i="1" l="1"/>
  <c r="A99" i="1"/>
  <c r="M37" i="1"/>
  <c r="Z38" i="1" s="1"/>
  <c r="A100" i="1" l="1"/>
  <c r="F101" i="1"/>
  <c r="G37" i="1"/>
  <c r="H37" i="1" s="1"/>
  <c r="N37" i="1" s="1"/>
  <c r="F102" i="1" l="1"/>
  <c r="A101" i="1"/>
  <c r="I37" i="1"/>
  <c r="V37" i="1" s="1"/>
  <c r="S37" i="1"/>
  <c r="T37" i="1" s="1"/>
  <c r="O37" i="1"/>
  <c r="P37" i="1" s="1"/>
  <c r="Q37" i="1"/>
  <c r="R37" i="1" s="1"/>
  <c r="U37" i="1" l="1"/>
  <c r="F103" i="1"/>
  <c r="A102" i="1"/>
  <c r="J38" i="1"/>
  <c r="K38" i="1"/>
  <c r="Y37" i="1"/>
  <c r="W37" i="1" s="1"/>
  <c r="X37" i="1" s="1"/>
  <c r="L38" i="1"/>
  <c r="F104" i="1" l="1"/>
  <c r="A103" i="1"/>
  <c r="M38" i="1"/>
  <c r="G38" i="1" s="1"/>
  <c r="H38" i="1" s="1"/>
  <c r="Z39" i="1" l="1"/>
  <c r="F105" i="1"/>
  <c r="A104" i="1"/>
  <c r="I38" i="1"/>
  <c r="V38" i="1" s="1"/>
  <c r="N38" i="1"/>
  <c r="U38" i="1" l="1"/>
  <c r="F106" i="1"/>
  <c r="A105" i="1"/>
  <c r="Q38" i="1"/>
  <c r="R38" i="1" s="1"/>
  <c r="S38" i="1"/>
  <c r="T38" i="1" s="1"/>
  <c r="O38" i="1"/>
  <c r="P38" i="1" s="1"/>
  <c r="A106" i="1" l="1"/>
  <c r="F107" i="1"/>
  <c r="K39" i="1"/>
  <c r="J39" i="1"/>
  <c r="Y38" i="1"/>
  <c r="W38" i="1" s="1"/>
  <c r="X38" i="1" s="1"/>
  <c r="L39" i="1"/>
  <c r="F108" i="1" l="1"/>
  <c r="A107" i="1"/>
  <c r="M39" i="1"/>
  <c r="F109" i="1" l="1"/>
  <c r="A108" i="1"/>
  <c r="G39" i="1"/>
  <c r="H39" i="1" s="1"/>
  <c r="Z40" i="1"/>
  <c r="F110" i="1" l="1"/>
  <c r="A109" i="1"/>
  <c r="I39" i="1"/>
  <c r="V39" i="1" s="1"/>
  <c r="N39" i="1"/>
  <c r="F111" i="1" l="1"/>
  <c r="A110" i="1"/>
  <c r="U39" i="1"/>
  <c r="O39" i="1"/>
  <c r="P39" i="1" s="1"/>
  <c r="Q39" i="1"/>
  <c r="R39" i="1" s="1"/>
  <c r="S39" i="1"/>
  <c r="T39" i="1" s="1"/>
  <c r="A111" i="1" l="1"/>
  <c r="F112" i="1"/>
  <c r="K40" i="1"/>
  <c r="J40" i="1"/>
  <c r="Y39" i="1"/>
  <c r="W39" i="1" s="1"/>
  <c r="X39" i="1" s="1"/>
  <c r="L40" i="1"/>
  <c r="M40" i="1" l="1"/>
  <c r="G40" i="1" s="1"/>
  <c r="H40" i="1" s="1"/>
  <c r="A112" i="1"/>
  <c r="F113" i="1"/>
  <c r="Z41" i="1" l="1"/>
  <c r="F114" i="1"/>
  <c r="A113" i="1"/>
  <c r="I40" i="1"/>
  <c r="V40" i="1" s="1"/>
  <c r="N40" i="1"/>
  <c r="F115" i="1" l="1"/>
  <c r="A114" i="1"/>
  <c r="U40" i="1"/>
  <c r="O40" i="1"/>
  <c r="P40" i="1" s="1"/>
  <c r="Q40" i="1"/>
  <c r="R40" i="1" s="1"/>
  <c r="S40" i="1"/>
  <c r="T40" i="1" s="1"/>
  <c r="F116" i="1" l="1"/>
  <c r="A115" i="1"/>
  <c r="J41" i="1"/>
  <c r="K41" i="1"/>
  <c r="Y40" i="1"/>
  <c r="W40" i="1" s="1"/>
  <c r="X40" i="1" s="1"/>
  <c r="L41" i="1"/>
  <c r="M41" i="1" l="1"/>
  <c r="G41" i="1" s="1"/>
  <c r="H41" i="1" s="1"/>
  <c r="A116" i="1"/>
  <c r="F117" i="1"/>
  <c r="Z42" i="1" l="1"/>
  <c r="A117" i="1"/>
  <c r="F118" i="1"/>
  <c r="I41" i="1"/>
  <c r="V41" i="1" s="1"/>
  <c r="N41" i="1"/>
  <c r="U41" i="1" l="1"/>
  <c r="A118" i="1"/>
  <c r="F119" i="1"/>
  <c r="O41" i="1"/>
  <c r="P41" i="1" s="1"/>
  <c r="Q41" i="1"/>
  <c r="R41" i="1" s="1"/>
  <c r="S41" i="1"/>
  <c r="T41" i="1" s="1"/>
  <c r="A119" i="1" l="1"/>
  <c r="J42" i="1"/>
  <c r="K42" i="1"/>
  <c r="Y41" i="1"/>
  <c r="W41" i="1" s="1"/>
  <c r="X41" i="1" s="1"/>
  <c r="L42" i="1"/>
  <c r="M42" i="1" l="1"/>
  <c r="Z43" i="1" s="1"/>
  <c r="G42" i="1" l="1"/>
  <c r="H42" i="1" s="1"/>
  <c r="I42" i="1" s="1"/>
  <c r="V42" i="1" s="1"/>
  <c r="N42" i="1" l="1"/>
  <c r="O42" i="1" s="1"/>
  <c r="P42" i="1" s="1"/>
  <c r="U42" i="1"/>
  <c r="S42" i="1" l="1"/>
  <c r="T42" i="1" s="1"/>
  <c r="L43" i="1" s="1"/>
  <c r="Q42" i="1"/>
  <c r="R42" i="1" s="1"/>
  <c r="K43" i="1" s="1"/>
  <c r="J43" i="1"/>
  <c r="Y42" i="1" l="1"/>
  <c r="W42" i="1" s="1"/>
  <c r="X42" i="1" s="1"/>
  <c r="M43" i="1"/>
  <c r="Z44" i="1" s="1"/>
  <c r="G43" i="1" l="1"/>
  <c r="H43" i="1" s="1"/>
  <c r="I43" i="1" s="1"/>
  <c r="V43" i="1" s="1"/>
  <c r="N43" i="1" l="1"/>
  <c r="S43" i="1" s="1"/>
  <c r="T43" i="1" s="1"/>
  <c r="U43" i="1"/>
  <c r="O43" i="1" l="1"/>
  <c r="P43" i="1" s="1"/>
  <c r="J44" i="1" s="1"/>
  <c r="Q43" i="1"/>
  <c r="R43" i="1" s="1"/>
  <c r="K44" i="1" s="1"/>
  <c r="L44" i="1"/>
  <c r="Y43" i="1" l="1"/>
  <c r="W43" i="1" s="1"/>
  <c r="X43" i="1" s="1"/>
  <c r="M44" i="1"/>
  <c r="G44" i="1" l="1"/>
  <c r="H44" i="1" s="1"/>
  <c r="Z45" i="1"/>
  <c r="I44" i="1" l="1"/>
  <c r="V44" i="1" s="1"/>
  <c r="N44" i="1"/>
  <c r="U44" i="1" l="1"/>
  <c r="Q44" i="1"/>
  <c r="R44" i="1" s="1"/>
  <c r="S44" i="1"/>
  <c r="T44" i="1" s="1"/>
  <c r="O44" i="1"/>
  <c r="P44" i="1" s="1"/>
  <c r="J45" i="1" l="1"/>
  <c r="K45" i="1"/>
  <c r="L45" i="1"/>
  <c r="Y44" i="1"/>
  <c r="W44" i="1" s="1"/>
  <c r="X44" i="1" s="1"/>
  <c r="M45" i="1" l="1"/>
  <c r="G45" i="1" s="1"/>
  <c r="H45" i="1" s="1"/>
  <c r="Z46" i="1" l="1"/>
  <c r="I45" i="1"/>
  <c r="V45" i="1" s="1"/>
  <c r="N45" i="1"/>
  <c r="U45" i="1" l="1"/>
  <c r="O45" i="1"/>
  <c r="P45" i="1" s="1"/>
  <c r="Q45" i="1"/>
  <c r="R45" i="1" s="1"/>
  <c r="S45" i="1"/>
  <c r="T45" i="1" s="1"/>
  <c r="J46" i="1" l="1"/>
  <c r="K46" i="1"/>
  <c r="Y45" i="1"/>
  <c r="W45" i="1" s="1"/>
  <c r="X45" i="1" s="1"/>
  <c r="L46" i="1"/>
  <c r="M46" i="1" l="1"/>
  <c r="G46" i="1" s="1"/>
  <c r="H46" i="1" s="1"/>
  <c r="Z47" i="1" l="1"/>
  <c r="I46" i="1"/>
  <c r="V46" i="1" s="1"/>
  <c r="N46" i="1"/>
  <c r="U46" i="1" l="1"/>
  <c r="O46" i="1"/>
  <c r="P46" i="1" s="1"/>
  <c r="J47" i="1" s="1"/>
  <c r="Q46" i="1"/>
  <c r="R46" i="1" s="1"/>
  <c r="S46" i="1"/>
  <c r="T46" i="1" s="1"/>
  <c r="K47" i="1" l="1"/>
  <c r="Y46" i="1"/>
  <c r="W46" i="1" s="1"/>
  <c r="X46" i="1" s="1"/>
  <c r="L47" i="1"/>
  <c r="M47" i="1" l="1"/>
  <c r="G47" i="1" s="1"/>
  <c r="H47" i="1" s="1"/>
  <c r="Z48" i="1" l="1"/>
  <c r="I47" i="1"/>
  <c r="V47" i="1" s="1"/>
  <c r="N47" i="1"/>
  <c r="U47" i="1" l="1"/>
  <c r="O47" i="1"/>
  <c r="P47" i="1" s="1"/>
  <c r="J48" i="1" s="1"/>
  <c r="Q47" i="1"/>
  <c r="R47" i="1" s="1"/>
  <c r="K48" i="1" s="1"/>
  <c r="S47" i="1"/>
  <c r="T47" i="1" s="1"/>
  <c r="Y47" i="1" l="1"/>
  <c r="W47" i="1" s="1"/>
  <c r="X47" i="1" s="1"/>
  <c r="L48" i="1"/>
  <c r="M48" i="1" s="1"/>
  <c r="G48" i="1" l="1"/>
  <c r="H48" i="1" s="1"/>
  <c r="Z49" i="1"/>
  <c r="I48" i="1" l="1"/>
  <c r="V48" i="1" s="1"/>
  <c r="N48" i="1"/>
  <c r="U48" i="1" l="1"/>
  <c r="O48" i="1"/>
  <c r="P48" i="1" s="1"/>
  <c r="J49" i="1" s="1"/>
  <c r="S48" i="1"/>
  <c r="T48" i="1" s="1"/>
  <c r="Q48" i="1"/>
  <c r="R48" i="1" s="1"/>
  <c r="K49" i="1" l="1"/>
  <c r="Y48" i="1"/>
  <c r="W48" i="1" s="1"/>
  <c r="X48" i="1" s="1"/>
  <c r="L49" i="1"/>
  <c r="M49" i="1" l="1"/>
  <c r="G49" i="1" s="1"/>
  <c r="H49" i="1" s="1"/>
  <c r="Z50" i="1" l="1"/>
  <c r="I49" i="1"/>
  <c r="V49" i="1" s="1"/>
  <c r="N49" i="1"/>
  <c r="U49" i="1" l="1"/>
  <c r="S49" i="1"/>
  <c r="T49" i="1" s="1"/>
  <c r="O49" i="1"/>
  <c r="P49" i="1" s="1"/>
  <c r="J50" i="1" s="1"/>
  <c r="Q49" i="1"/>
  <c r="R49" i="1" s="1"/>
  <c r="K50" i="1" l="1"/>
  <c r="Y49" i="1"/>
  <c r="W49" i="1" s="1"/>
  <c r="X49" i="1" s="1"/>
  <c r="L50" i="1"/>
  <c r="M50" i="1" l="1"/>
  <c r="Z51" i="1" s="1"/>
  <c r="G50" i="1" l="1"/>
  <c r="H50" i="1" s="1"/>
  <c r="I50" i="1" s="1"/>
  <c r="V50" i="1" s="1"/>
  <c r="N50" i="1" l="1"/>
  <c r="Q50" i="1" s="1"/>
  <c r="R50" i="1" s="1"/>
  <c r="K51" i="1" s="1"/>
  <c r="U50" i="1"/>
  <c r="O50" i="1" l="1"/>
  <c r="P50" i="1" s="1"/>
  <c r="J51" i="1" s="1"/>
  <c r="S50" i="1"/>
  <c r="T50" i="1" s="1"/>
  <c r="Y50" i="1" l="1"/>
  <c r="W50" i="1" s="1"/>
  <c r="X50" i="1" s="1"/>
  <c r="L51" i="1"/>
  <c r="M51" i="1" s="1"/>
  <c r="G51" i="1" l="1"/>
  <c r="H51" i="1" s="1"/>
  <c r="I51" i="1" s="1"/>
  <c r="V51" i="1" s="1"/>
  <c r="Z52" i="1"/>
  <c r="N51" i="1" l="1"/>
  <c r="O51" i="1" s="1"/>
  <c r="P51" i="1" s="1"/>
  <c r="U51" i="1"/>
  <c r="S51" i="1" l="1"/>
  <c r="T51" i="1" s="1"/>
  <c r="Q51" i="1"/>
  <c r="R51" i="1" s="1"/>
  <c r="K52" i="1" s="1"/>
  <c r="J52" i="1"/>
  <c r="Y51" i="1" l="1"/>
  <c r="W51" i="1" s="1"/>
  <c r="X51" i="1" s="1"/>
  <c r="L52" i="1"/>
  <c r="M52" i="1" s="1"/>
  <c r="Z53" i="1" s="1"/>
  <c r="G52" i="1" l="1"/>
  <c r="H52" i="1" s="1"/>
  <c r="I52" i="1" s="1"/>
  <c r="V52" i="1" s="1"/>
  <c r="N52" i="1" l="1"/>
  <c r="O52" i="1" s="1"/>
  <c r="P52" i="1" s="1"/>
  <c r="J53" i="1" s="1"/>
  <c r="U52" i="1"/>
  <c r="S52" i="1" l="1"/>
  <c r="T52" i="1" s="1"/>
  <c r="L53" i="1" s="1"/>
  <c r="Q52" i="1"/>
  <c r="R52" i="1" s="1"/>
  <c r="K53" i="1" s="1"/>
  <c r="Y52" i="1" l="1"/>
  <c r="W52" i="1" s="1"/>
  <c r="X52" i="1" s="1"/>
  <c r="M53" i="1"/>
  <c r="G53" i="1" s="1"/>
  <c r="H53" i="1" s="1"/>
  <c r="Z54" i="1" l="1"/>
  <c r="I53" i="1"/>
  <c r="V53" i="1" s="1"/>
  <c r="N53" i="1"/>
  <c r="U53" i="1" l="1"/>
  <c r="O53" i="1"/>
  <c r="P53" i="1" s="1"/>
  <c r="J54" i="1" s="1"/>
  <c r="Q53" i="1"/>
  <c r="R53" i="1" s="1"/>
  <c r="K54" i="1" s="1"/>
  <c r="S53" i="1"/>
  <c r="T53" i="1" s="1"/>
  <c r="Y53" i="1" l="1"/>
  <c r="W53" i="1" s="1"/>
  <c r="X53" i="1" s="1"/>
  <c r="L54" i="1"/>
  <c r="M54" i="1" s="1"/>
  <c r="G54" i="1" l="1"/>
  <c r="H54" i="1" s="1"/>
  <c r="Z55" i="1"/>
  <c r="I54" i="1" l="1"/>
  <c r="V54" i="1" s="1"/>
  <c r="N54" i="1"/>
  <c r="U54" i="1" l="1"/>
  <c r="O54" i="1"/>
  <c r="P54" i="1" s="1"/>
  <c r="J55" i="1" s="1"/>
  <c r="Q54" i="1"/>
  <c r="R54" i="1" s="1"/>
  <c r="K55" i="1" s="1"/>
  <c r="S54" i="1"/>
  <c r="T54" i="1" s="1"/>
  <c r="Y54" i="1" l="1"/>
  <c r="W54" i="1" s="1"/>
  <c r="X54" i="1" s="1"/>
  <c r="L55" i="1"/>
  <c r="M55" i="1" s="1"/>
  <c r="G55" i="1" l="1"/>
  <c r="H55" i="1" s="1"/>
  <c r="Z56" i="1"/>
  <c r="I55" i="1" l="1"/>
  <c r="V55" i="1" s="1"/>
  <c r="N55" i="1"/>
  <c r="U55" i="1" l="1"/>
  <c r="S55" i="1"/>
  <c r="T55" i="1" s="1"/>
  <c r="Q55" i="1"/>
  <c r="R55" i="1" s="1"/>
  <c r="K56" i="1" s="1"/>
  <c r="O55" i="1"/>
  <c r="P55" i="1" s="1"/>
  <c r="J56" i="1" l="1"/>
  <c r="Y55" i="1"/>
  <c r="W55" i="1" s="1"/>
  <c r="X55" i="1" s="1"/>
  <c r="L56" i="1"/>
  <c r="M56" i="1" l="1"/>
  <c r="G56" i="1" s="1"/>
  <c r="H56" i="1" s="1"/>
  <c r="Z57" i="1" l="1"/>
  <c r="I56" i="1"/>
  <c r="V56" i="1" s="1"/>
  <c r="N56" i="1"/>
  <c r="U56" i="1" l="1"/>
  <c r="Q56" i="1"/>
  <c r="R56" i="1" s="1"/>
  <c r="K57" i="1" s="1"/>
  <c r="S56" i="1"/>
  <c r="T56" i="1" s="1"/>
  <c r="O56" i="1"/>
  <c r="P56" i="1" s="1"/>
  <c r="J57" i="1" s="1"/>
  <c r="Y56" i="1" l="1"/>
  <c r="W56" i="1" s="1"/>
  <c r="X56" i="1" s="1"/>
  <c r="L57" i="1"/>
  <c r="M57" i="1" s="1"/>
  <c r="G57" i="1" l="1"/>
  <c r="H57" i="1" s="1"/>
  <c r="Z58" i="1"/>
  <c r="I57" i="1" l="1"/>
  <c r="V57" i="1" s="1"/>
  <c r="N57" i="1"/>
  <c r="U57" i="1" l="1"/>
  <c r="O57" i="1"/>
  <c r="P57" i="1" s="1"/>
  <c r="J58" i="1" s="1"/>
  <c r="S57" i="1"/>
  <c r="T57" i="1" s="1"/>
  <c r="Q57" i="1"/>
  <c r="R57" i="1" s="1"/>
  <c r="K58" i="1" l="1"/>
  <c r="Y57" i="1"/>
  <c r="W57" i="1" s="1"/>
  <c r="X57" i="1" s="1"/>
  <c r="L58" i="1"/>
  <c r="M58" i="1" l="1"/>
  <c r="G58" i="1" s="1"/>
  <c r="H58" i="1" s="1"/>
  <c r="Z59" i="1" l="1"/>
  <c r="I58" i="1"/>
  <c r="V58" i="1" s="1"/>
  <c r="N58" i="1"/>
  <c r="U58" i="1" l="1"/>
  <c r="S58" i="1"/>
  <c r="T58" i="1" s="1"/>
  <c r="Q58" i="1"/>
  <c r="R58" i="1" s="1"/>
  <c r="K59" i="1" s="1"/>
  <c r="O58" i="1"/>
  <c r="P58" i="1" s="1"/>
  <c r="J59" i="1" l="1"/>
  <c r="Y58" i="1"/>
  <c r="W58" i="1" s="1"/>
  <c r="X58" i="1" s="1"/>
  <c r="L59" i="1"/>
  <c r="M59" i="1" l="1"/>
  <c r="G59" i="1" l="1"/>
  <c r="H59" i="1" s="1"/>
  <c r="Z60" i="1"/>
  <c r="I59" i="1" l="1"/>
  <c r="V59" i="1" s="1"/>
  <c r="N59" i="1"/>
  <c r="U59" i="1" l="1"/>
  <c r="Q59" i="1"/>
  <c r="R59" i="1" s="1"/>
  <c r="K60" i="1" s="1"/>
  <c r="S59" i="1"/>
  <c r="T59" i="1" s="1"/>
  <c r="O59" i="1"/>
  <c r="P59" i="1" s="1"/>
  <c r="J60" i="1" l="1"/>
  <c r="Y59" i="1"/>
  <c r="W59" i="1" s="1"/>
  <c r="X59" i="1" s="1"/>
  <c r="L60" i="1"/>
  <c r="M60" i="1" l="1"/>
  <c r="G60" i="1" s="1"/>
  <c r="H60" i="1" s="1"/>
  <c r="Z61" i="1" l="1"/>
  <c r="I60" i="1"/>
  <c r="V60" i="1" s="1"/>
  <c r="N60" i="1"/>
  <c r="U60" i="1" l="1"/>
  <c r="O60" i="1"/>
  <c r="P60" i="1" s="1"/>
  <c r="J61" i="1" s="1"/>
  <c r="S60" i="1"/>
  <c r="T60" i="1" s="1"/>
  <c r="Q60" i="1"/>
  <c r="R60" i="1" s="1"/>
  <c r="K61" i="1" l="1"/>
  <c r="Y60" i="1"/>
  <c r="W60" i="1" s="1"/>
  <c r="X60" i="1" s="1"/>
  <c r="L61" i="1"/>
  <c r="M61" i="1" l="1"/>
  <c r="G61" i="1" s="1"/>
  <c r="H61" i="1" s="1"/>
  <c r="Z62" i="1" l="1"/>
  <c r="I61" i="1"/>
  <c r="V61" i="1" s="1"/>
  <c r="N61" i="1"/>
  <c r="U61" i="1" l="1"/>
  <c r="O61" i="1"/>
  <c r="P61" i="1" s="1"/>
  <c r="J62" i="1" s="1"/>
  <c r="Q61" i="1"/>
  <c r="R61" i="1" s="1"/>
  <c r="K62" i="1" s="1"/>
  <c r="S61" i="1"/>
  <c r="T61" i="1" s="1"/>
  <c r="L62" i="1" l="1"/>
  <c r="M62" i="1" s="1"/>
  <c r="Y61" i="1"/>
  <c r="W61" i="1" s="1"/>
  <c r="X61" i="1" s="1"/>
  <c r="G62" i="1" l="1"/>
  <c r="H62" i="1" s="1"/>
  <c r="Z63" i="1"/>
  <c r="I62" i="1" l="1"/>
  <c r="V62" i="1" s="1"/>
  <c r="N62" i="1"/>
  <c r="U62" i="1" l="1"/>
  <c r="S62" i="1"/>
  <c r="T62" i="1" s="1"/>
  <c r="O62" i="1"/>
  <c r="P62" i="1" s="1"/>
  <c r="J63" i="1" s="1"/>
  <c r="Q62" i="1"/>
  <c r="R62" i="1" s="1"/>
  <c r="K63" i="1" l="1"/>
  <c r="Y62" i="1"/>
  <c r="W62" i="1" s="1"/>
  <c r="X62" i="1" s="1"/>
  <c r="L63" i="1"/>
  <c r="M63" i="1" l="1"/>
  <c r="G63" i="1" s="1"/>
  <c r="H63" i="1" s="1"/>
  <c r="Z64" i="1" l="1"/>
  <c r="I63" i="1"/>
  <c r="V63" i="1" s="1"/>
  <c r="N63" i="1"/>
  <c r="U63" i="1" l="1"/>
  <c r="Q63" i="1"/>
  <c r="R63" i="1" s="1"/>
  <c r="K64" i="1" s="1"/>
  <c r="S63" i="1"/>
  <c r="T63" i="1" s="1"/>
  <c r="O63" i="1"/>
  <c r="P63" i="1" s="1"/>
  <c r="J64" i="1" s="1"/>
  <c r="Y63" i="1" l="1"/>
  <c r="W63" i="1" s="1"/>
  <c r="X63" i="1" s="1"/>
  <c r="L64" i="1"/>
  <c r="M64" i="1" s="1"/>
  <c r="G64" i="1" l="1"/>
  <c r="H64" i="1" s="1"/>
  <c r="Z65" i="1"/>
  <c r="I64" i="1" l="1"/>
  <c r="V64" i="1" s="1"/>
  <c r="N64" i="1"/>
  <c r="U64" i="1" l="1"/>
  <c r="O64" i="1"/>
  <c r="P64" i="1" s="1"/>
  <c r="J65" i="1" s="1"/>
  <c r="Q64" i="1"/>
  <c r="R64" i="1" s="1"/>
  <c r="K65" i="1" s="1"/>
  <c r="S64" i="1"/>
  <c r="T64" i="1" s="1"/>
  <c r="Y64" i="1" l="1"/>
  <c r="W64" i="1" s="1"/>
  <c r="X64" i="1" s="1"/>
  <c r="L65" i="1"/>
  <c r="M65" i="1" s="1"/>
  <c r="G65" i="1" l="1"/>
  <c r="H65" i="1" s="1"/>
  <c r="Z66" i="1"/>
  <c r="I65" i="1" l="1"/>
  <c r="V65" i="1" s="1"/>
  <c r="N65" i="1"/>
  <c r="U65" i="1" l="1"/>
  <c r="O65" i="1"/>
  <c r="P65" i="1" s="1"/>
  <c r="J66" i="1" s="1"/>
  <c r="Q65" i="1"/>
  <c r="R65" i="1" s="1"/>
  <c r="K66" i="1" s="1"/>
  <c r="S65" i="1"/>
  <c r="T65" i="1" s="1"/>
  <c r="Y65" i="1" l="1"/>
  <c r="W65" i="1" s="1"/>
  <c r="X65" i="1" s="1"/>
  <c r="L66" i="1"/>
  <c r="M66" i="1" s="1"/>
  <c r="G66" i="1" l="1"/>
  <c r="H66" i="1" s="1"/>
  <c r="Z67" i="1"/>
  <c r="I66" i="1" l="1"/>
  <c r="V66" i="1" s="1"/>
  <c r="N66" i="1"/>
  <c r="U66" i="1" l="1"/>
  <c r="O66" i="1"/>
  <c r="P66" i="1" s="1"/>
  <c r="J67" i="1" s="1"/>
  <c r="Q66" i="1"/>
  <c r="R66" i="1" s="1"/>
  <c r="K67" i="1" s="1"/>
  <c r="S66" i="1"/>
  <c r="T66" i="1" s="1"/>
  <c r="Y66" i="1" l="1"/>
  <c r="W66" i="1" s="1"/>
  <c r="X66" i="1" s="1"/>
  <c r="L67" i="1"/>
  <c r="M67" i="1" s="1"/>
  <c r="G67" i="1" l="1"/>
  <c r="H67" i="1" s="1"/>
  <c r="Z68" i="1"/>
  <c r="I67" i="1" l="1"/>
  <c r="V67" i="1" s="1"/>
  <c r="N67" i="1"/>
  <c r="U67" i="1" l="1"/>
  <c r="S67" i="1"/>
  <c r="T67" i="1" s="1"/>
  <c r="Q67" i="1"/>
  <c r="R67" i="1" s="1"/>
  <c r="O67" i="1"/>
  <c r="P67" i="1" s="1"/>
  <c r="J68" i="1" s="1"/>
  <c r="K68" i="1" l="1"/>
  <c r="Y67" i="1"/>
  <c r="W67" i="1" s="1"/>
  <c r="X67" i="1" s="1"/>
  <c r="L68" i="1"/>
  <c r="M68" i="1" l="1"/>
  <c r="G68" i="1" s="1"/>
  <c r="H68" i="1" s="1"/>
  <c r="Z69" i="1" l="1"/>
  <c r="I68" i="1"/>
  <c r="V68" i="1" s="1"/>
  <c r="N68" i="1"/>
  <c r="U68" i="1" l="1"/>
  <c r="S68" i="1"/>
  <c r="T68" i="1" s="1"/>
  <c r="O68" i="1"/>
  <c r="P68" i="1" s="1"/>
  <c r="J69" i="1" s="1"/>
  <c r="Q68" i="1"/>
  <c r="R68" i="1" s="1"/>
  <c r="L69" i="1" l="1"/>
  <c r="K69" i="1"/>
  <c r="Y68" i="1"/>
  <c r="W68" i="1" s="1"/>
  <c r="X68" i="1" s="1"/>
  <c r="M69" i="1" l="1"/>
  <c r="G69" i="1" l="1"/>
  <c r="H69" i="1" s="1"/>
  <c r="I69" i="1" s="1"/>
  <c r="V69" i="1" s="1"/>
  <c r="Z70" i="1"/>
  <c r="N69" i="1" l="1"/>
  <c r="Q69" i="1" s="1"/>
  <c r="R69" i="1" s="1"/>
  <c r="K70" i="1" s="1"/>
  <c r="U69" i="1"/>
  <c r="S69" i="1" l="1"/>
  <c r="T69" i="1" s="1"/>
  <c r="L70" i="1" s="1"/>
  <c r="O69" i="1"/>
  <c r="P69" i="1" s="1"/>
  <c r="J70" i="1" s="1"/>
  <c r="M70" i="1" l="1"/>
  <c r="G70" i="1" s="1"/>
  <c r="H70" i="1" s="1"/>
  <c r="I70" i="1" s="1"/>
  <c r="V70" i="1" s="1"/>
  <c r="Y69" i="1"/>
  <c r="W69" i="1" s="1"/>
  <c r="X69" i="1" s="1"/>
  <c r="Z71" i="1" l="1"/>
  <c r="N70" i="1"/>
  <c r="Q70" i="1" s="1"/>
  <c r="R70" i="1" s="1"/>
  <c r="K71" i="1" s="1"/>
  <c r="U70" i="1"/>
  <c r="O70" i="1" l="1"/>
  <c r="P70" i="1" s="1"/>
  <c r="J71" i="1" s="1"/>
  <c r="S70" i="1"/>
  <c r="T70" i="1" s="1"/>
  <c r="L71" i="1" s="1"/>
  <c r="Y70" i="1" l="1"/>
  <c r="W70" i="1" s="1"/>
  <c r="X70" i="1" s="1"/>
  <c r="M71" i="1"/>
  <c r="G71" i="1" s="1"/>
  <c r="H71" i="1" s="1"/>
  <c r="Z72" i="1" l="1"/>
  <c r="I71" i="1"/>
  <c r="V71" i="1" s="1"/>
  <c r="N71" i="1"/>
  <c r="U71" i="1" l="1"/>
  <c r="S71" i="1"/>
  <c r="T71" i="1" s="1"/>
  <c r="Q71" i="1"/>
  <c r="R71" i="1" s="1"/>
  <c r="K72" i="1" s="1"/>
  <c r="O71" i="1"/>
  <c r="P71" i="1" s="1"/>
  <c r="J72" i="1" l="1"/>
  <c r="Y71" i="1"/>
  <c r="W71" i="1" s="1"/>
  <c r="X71" i="1" s="1"/>
  <c r="L72" i="1"/>
  <c r="M72" i="1" l="1"/>
  <c r="G72" i="1" l="1"/>
  <c r="H72" i="1" s="1"/>
  <c r="Z73" i="1"/>
  <c r="I72" i="1" l="1"/>
  <c r="V72" i="1" s="1"/>
  <c r="N72" i="1"/>
  <c r="U72" i="1" l="1"/>
  <c r="Q72" i="1"/>
  <c r="R72" i="1" s="1"/>
  <c r="K73" i="1" s="1"/>
  <c r="S72" i="1"/>
  <c r="T72" i="1" s="1"/>
  <c r="O72" i="1"/>
  <c r="P72" i="1" s="1"/>
  <c r="J73" i="1" s="1"/>
  <c r="L73" i="1" l="1"/>
  <c r="M73" i="1" s="1"/>
  <c r="Y72" i="1"/>
  <c r="W72" i="1" s="1"/>
  <c r="X72" i="1" s="1"/>
  <c r="G73" i="1" l="1"/>
  <c r="H73" i="1" s="1"/>
  <c r="Z74" i="1"/>
  <c r="I73" i="1" l="1"/>
  <c r="V73" i="1" s="1"/>
  <c r="N73" i="1"/>
  <c r="U73" i="1" l="1"/>
  <c r="S73" i="1"/>
  <c r="T73" i="1" s="1"/>
  <c r="O73" i="1"/>
  <c r="P73" i="1" s="1"/>
  <c r="J74" i="1" s="1"/>
  <c r="Q73" i="1"/>
  <c r="R73" i="1" s="1"/>
  <c r="K74" i="1" s="1"/>
  <c r="L74" i="1" l="1"/>
  <c r="M74" i="1" s="1"/>
  <c r="Y73" i="1"/>
  <c r="W73" i="1" s="1"/>
  <c r="X73" i="1" s="1"/>
  <c r="G74" i="1" l="1"/>
  <c r="H74" i="1" s="1"/>
  <c r="Z75" i="1"/>
  <c r="I74" i="1" l="1"/>
  <c r="V74" i="1" s="1"/>
  <c r="N74" i="1"/>
  <c r="U74" i="1" l="1"/>
  <c r="Q74" i="1"/>
  <c r="R74" i="1" s="1"/>
  <c r="K75" i="1" s="1"/>
  <c r="O74" i="1"/>
  <c r="P74" i="1" s="1"/>
  <c r="J75" i="1" s="1"/>
  <c r="S74" i="1"/>
  <c r="T74" i="1" s="1"/>
  <c r="Y74" i="1" l="1"/>
  <c r="W74" i="1" s="1"/>
  <c r="X74" i="1" s="1"/>
  <c r="L75" i="1"/>
  <c r="M75" i="1" s="1"/>
  <c r="G75" i="1" l="1"/>
  <c r="H75" i="1" s="1"/>
  <c r="Z76" i="1"/>
  <c r="I75" i="1" l="1"/>
  <c r="V75" i="1" s="1"/>
  <c r="N75" i="1"/>
  <c r="U75" i="1" l="1"/>
  <c r="O75" i="1"/>
  <c r="P75" i="1" s="1"/>
  <c r="J76" i="1" s="1"/>
  <c r="Q75" i="1"/>
  <c r="R75" i="1" s="1"/>
  <c r="K76" i="1" s="1"/>
  <c r="S75" i="1"/>
  <c r="T75" i="1" s="1"/>
  <c r="Y75" i="1" l="1"/>
  <c r="W75" i="1" s="1"/>
  <c r="X75" i="1" s="1"/>
  <c r="L76" i="1"/>
  <c r="M76" i="1" s="1"/>
  <c r="G76" i="1" l="1"/>
  <c r="H76" i="1" s="1"/>
  <c r="Z77" i="1"/>
  <c r="I76" i="1" l="1"/>
  <c r="V76" i="1" s="1"/>
  <c r="N76" i="1"/>
  <c r="U76" i="1" l="1"/>
  <c r="Q76" i="1"/>
  <c r="R76" i="1" s="1"/>
  <c r="K77" i="1" s="1"/>
  <c r="O76" i="1"/>
  <c r="P76" i="1" s="1"/>
  <c r="S76" i="1"/>
  <c r="T76" i="1" s="1"/>
  <c r="J77" i="1" l="1"/>
  <c r="Y76" i="1"/>
  <c r="W76" i="1" s="1"/>
  <c r="X76" i="1" s="1"/>
  <c r="L77" i="1"/>
  <c r="M77" i="1" l="1"/>
  <c r="G77" i="1" s="1"/>
  <c r="H77" i="1" s="1"/>
  <c r="Z78" i="1"/>
  <c r="I77" i="1" l="1"/>
  <c r="V77" i="1" s="1"/>
  <c r="N77" i="1"/>
  <c r="U77" i="1" l="1"/>
  <c r="Q77" i="1"/>
  <c r="R77" i="1" s="1"/>
  <c r="K78" i="1" s="1"/>
  <c r="O77" i="1"/>
  <c r="P77" i="1" s="1"/>
  <c r="S77" i="1"/>
  <c r="T77" i="1" s="1"/>
  <c r="J78" i="1" l="1"/>
  <c r="Y77" i="1"/>
  <c r="W77" i="1" s="1"/>
  <c r="X77" i="1" s="1"/>
  <c r="L78" i="1"/>
  <c r="M78" i="1" l="1"/>
  <c r="G78" i="1" l="1"/>
  <c r="H78" i="1" s="1"/>
  <c r="Z79" i="1"/>
  <c r="I78" i="1" l="1"/>
  <c r="V78" i="1" s="1"/>
  <c r="N78" i="1"/>
  <c r="U78" i="1" l="1"/>
  <c r="O78" i="1"/>
  <c r="P78" i="1" s="1"/>
  <c r="J79" i="1" s="1"/>
  <c r="Q78" i="1"/>
  <c r="R78" i="1" s="1"/>
  <c r="K79" i="1" s="1"/>
  <c r="S78" i="1"/>
  <c r="T78" i="1" s="1"/>
  <c r="Y78" i="1" l="1"/>
  <c r="W78" i="1" s="1"/>
  <c r="X78" i="1" s="1"/>
  <c r="L79" i="1"/>
  <c r="M79" i="1" s="1"/>
  <c r="G79" i="1" l="1"/>
  <c r="H79" i="1" s="1"/>
  <c r="Z80" i="1"/>
  <c r="I79" i="1" l="1"/>
  <c r="V79" i="1" s="1"/>
  <c r="N79" i="1"/>
  <c r="U79" i="1" l="1"/>
  <c r="S79" i="1"/>
  <c r="T79" i="1" s="1"/>
  <c r="O79" i="1"/>
  <c r="P79" i="1" s="1"/>
  <c r="Q79" i="1"/>
  <c r="R79" i="1" s="1"/>
  <c r="K80" i="1" s="1"/>
  <c r="J80" i="1" l="1"/>
  <c r="Y79" i="1"/>
  <c r="W79" i="1" s="1"/>
  <c r="X79" i="1" s="1"/>
  <c r="L80" i="1"/>
  <c r="M80" i="1" l="1"/>
  <c r="G80" i="1" s="1"/>
  <c r="H80" i="1" s="1"/>
  <c r="Z81" i="1" l="1"/>
  <c r="I80" i="1"/>
  <c r="V80" i="1" s="1"/>
  <c r="N80" i="1"/>
  <c r="U80" i="1" l="1"/>
  <c r="Q80" i="1"/>
  <c r="R80" i="1" s="1"/>
  <c r="K81" i="1" s="1"/>
  <c r="O80" i="1"/>
  <c r="P80" i="1" s="1"/>
  <c r="J81" i="1" s="1"/>
  <c r="S80" i="1"/>
  <c r="T80" i="1" s="1"/>
  <c r="Y80" i="1" l="1"/>
  <c r="W80" i="1" s="1"/>
  <c r="X80" i="1" s="1"/>
  <c r="L81" i="1"/>
  <c r="M81" i="1" s="1"/>
  <c r="G81" i="1" l="1"/>
  <c r="H81" i="1" s="1"/>
  <c r="Z82" i="1"/>
  <c r="I81" i="1" l="1"/>
  <c r="V81" i="1" s="1"/>
  <c r="N81" i="1"/>
  <c r="U81" i="1" l="1"/>
  <c r="O81" i="1"/>
  <c r="P81" i="1" s="1"/>
  <c r="J82" i="1" s="1"/>
  <c r="Q81" i="1"/>
  <c r="R81" i="1" s="1"/>
  <c r="K82" i="1" s="1"/>
  <c r="S81" i="1"/>
  <c r="T81" i="1" s="1"/>
  <c r="Y81" i="1" l="1"/>
  <c r="W81" i="1" s="1"/>
  <c r="X81" i="1" s="1"/>
  <c r="L82" i="1"/>
  <c r="M82" i="1" s="1"/>
  <c r="G82" i="1" l="1"/>
  <c r="H82" i="1" s="1"/>
  <c r="Z83" i="1"/>
  <c r="I82" i="1" l="1"/>
  <c r="V82" i="1" s="1"/>
  <c r="N82" i="1"/>
  <c r="U82" i="1" l="1"/>
  <c r="O82" i="1"/>
  <c r="P82" i="1" s="1"/>
  <c r="J83" i="1" s="1"/>
  <c r="Q82" i="1"/>
  <c r="R82" i="1" s="1"/>
  <c r="K83" i="1" s="1"/>
  <c r="S82" i="1"/>
  <c r="T82" i="1" s="1"/>
  <c r="Y82" i="1" l="1"/>
  <c r="W82" i="1" s="1"/>
  <c r="X82" i="1" s="1"/>
  <c r="L83" i="1"/>
  <c r="M83" i="1" s="1"/>
  <c r="G83" i="1" l="1"/>
  <c r="H83" i="1" s="1"/>
  <c r="Z84" i="1"/>
  <c r="I83" i="1" l="1"/>
  <c r="V83" i="1" s="1"/>
  <c r="N83" i="1"/>
  <c r="U83" i="1" l="1"/>
  <c r="O83" i="1"/>
  <c r="P83" i="1" s="1"/>
  <c r="J84" i="1" s="1"/>
  <c r="Q83" i="1"/>
  <c r="R83" i="1" s="1"/>
  <c r="S83" i="1"/>
  <c r="T83" i="1" s="1"/>
  <c r="K84" i="1" l="1"/>
  <c r="Y83" i="1"/>
  <c r="W83" i="1" s="1"/>
  <c r="X83" i="1" s="1"/>
  <c r="L84" i="1"/>
  <c r="M84" i="1" l="1"/>
  <c r="G84" i="1" s="1"/>
  <c r="H84" i="1" s="1"/>
  <c r="Z85" i="1" l="1"/>
  <c r="I84" i="1"/>
  <c r="V84" i="1" s="1"/>
  <c r="N84" i="1"/>
  <c r="U84" i="1" l="1"/>
  <c r="O84" i="1"/>
  <c r="P84" i="1" s="1"/>
  <c r="Q84" i="1"/>
  <c r="R84" i="1" s="1"/>
  <c r="K85" i="1" s="1"/>
  <c r="S84" i="1"/>
  <c r="T84" i="1" s="1"/>
  <c r="J85" i="1" l="1"/>
  <c r="Y84" i="1"/>
  <c r="W84" i="1" s="1"/>
  <c r="X84" i="1" s="1"/>
  <c r="L85" i="1"/>
  <c r="M85" i="1" l="1"/>
  <c r="G85" i="1" s="1"/>
  <c r="H85" i="1" s="1"/>
  <c r="Z86" i="1"/>
  <c r="I85" i="1" l="1"/>
  <c r="V85" i="1" s="1"/>
  <c r="N85" i="1"/>
  <c r="U85" i="1" l="1"/>
  <c r="S85" i="1"/>
  <c r="T85" i="1" s="1"/>
  <c r="O85" i="1"/>
  <c r="P85" i="1" s="1"/>
  <c r="J86" i="1" s="1"/>
  <c r="Q85" i="1"/>
  <c r="R85" i="1" s="1"/>
  <c r="K86" i="1" s="1"/>
  <c r="L86" i="1" l="1"/>
  <c r="M86" i="1" s="1"/>
  <c r="Y85" i="1"/>
  <c r="W85" i="1" s="1"/>
  <c r="X85" i="1" s="1"/>
  <c r="G86" i="1" l="1"/>
  <c r="H86" i="1" s="1"/>
  <c r="Z87" i="1"/>
  <c r="I86" i="1" l="1"/>
  <c r="V86" i="1" s="1"/>
  <c r="N86" i="1"/>
  <c r="Q86" i="1" l="1"/>
  <c r="R86" i="1" s="1"/>
  <c r="K87" i="1" s="1"/>
  <c r="O86" i="1"/>
  <c r="P86" i="1" s="1"/>
  <c r="J87" i="1" s="1"/>
  <c r="S86" i="1"/>
  <c r="T86" i="1" s="1"/>
  <c r="U86" i="1"/>
  <c r="Y86" i="1" l="1"/>
  <c r="W86" i="1" s="1"/>
  <c r="X86" i="1" s="1"/>
  <c r="L87" i="1"/>
  <c r="M87" i="1" s="1"/>
  <c r="G87" i="1" l="1"/>
  <c r="H87" i="1" s="1"/>
  <c r="Z88" i="1"/>
  <c r="I87" i="1" l="1"/>
  <c r="V87" i="1" s="1"/>
  <c r="N87" i="1"/>
  <c r="U87" i="1" l="1"/>
  <c r="O87" i="1"/>
  <c r="P87" i="1" s="1"/>
  <c r="J88" i="1" s="1"/>
  <c r="S87" i="1"/>
  <c r="T87" i="1" s="1"/>
  <c r="Q87" i="1"/>
  <c r="R87" i="1" s="1"/>
  <c r="K88" i="1" s="1"/>
  <c r="Y87" i="1" l="1"/>
  <c r="W87" i="1" s="1"/>
  <c r="X87" i="1" s="1"/>
  <c r="L88" i="1"/>
  <c r="M88" i="1" s="1"/>
  <c r="G88" i="1" l="1"/>
  <c r="H88" i="1" s="1"/>
  <c r="Z89" i="1"/>
  <c r="I88" i="1" l="1"/>
  <c r="V88" i="1" s="1"/>
  <c r="N88" i="1"/>
  <c r="U88" i="1" l="1"/>
  <c r="Q88" i="1"/>
  <c r="R88" i="1" s="1"/>
  <c r="S88" i="1"/>
  <c r="T88" i="1" s="1"/>
  <c r="O88" i="1"/>
  <c r="P88" i="1" s="1"/>
  <c r="J89" i="1" s="1"/>
  <c r="K89" i="1" l="1"/>
  <c r="Y88" i="1"/>
  <c r="W88" i="1" s="1"/>
  <c r="X88" i="1" s="1"/>
  <c r="L89" i="1"/>
  <c r="M89" i="1" l="1"/>
  <c r="G89" i="1" s="1"/>
  <c r="H89" i="1" s="1"/>
  <c r="Z90" i="1" l="1"/>
  <c r="I89" i="1"/>
  <c r="V89" i="1" s="1"/>
  <c r="N89" i="1"/>
  <c r="U89" i="1" l="1"/>
  <c r="Q89" i="1"/>
  <c r="R89" i="1" s="1"/>
  <c r="K90" i="1" s="1"/>
  <c r="S89" i="1"/>
  <c r="T89" i="1" s="1"/>
  <c r="O89" i="1"/>
  <c r="P89" i="1" s="1"/>
  <c r="J90" i="1" l="1"/>
  <c r="Y89" i="1"/>
  <c r="W89" i="1" s="1"/>
  <c r="X89" i="1" s="1"/>
  <c r="L90" i="1"/>
  <c r="M90" i="1" l="1"/>
  <c r="G90" i="1" s="1"/>
  <c r="H90" i="1" s="1"/>
  <c r="Z91" i="1" l="1"/>
  <c r="I90" i="1"/>
  <c r="V90" i="1" s="1"/>
  <c r="N90" i="1"/>
  <c r="U90" i="1" l="1"/>
  <c r="Q90" i="1"/>
  <c r="R90" i="1" s="1"/>
  <c r="K91" i="1" s="1"/>
  <c r="S90" i="1"/>
  <c r="T90" i="1" s="1"/>
  <c r="O90" i="1"/>
  <c r="P90" i="1" s="1"/>
  <c r="J91" i="1" l="1"/>
  <c r="Y90" i="1"/>
  <c r="W90" i="1" s="1"/>
  <c r="X90" i="1" s="1"/>
  <c r="L91" i="1"/>
  <c r="M91" i="1" l="1"/>
  <c r="G91" i="1" l="1"/>
  <c r="H91" i="1" s="1"/>
  <c r="Z92" i="1"/>
  <c r="I91" i="1" l="1"/>
  <c r="V91" i="1" s="1"/>
  <c r="N91" i="1"/>
  <c r="U91" i="1" l="1"/>
  <c r="S91" i="1"/>
  <c r="T91" i="1" s="1"/>
  <c r="Q91" i="1"/>
  <c r="R91" i="1" s="1"/>
  <c r="K92" i="1" s="1"/>
  <c r="O91" i="1"/>
  <c r="P91" i="1" s="1"/>
  <c r="J92" i="1" l="1"/>
  <c r="Y91" i="1"/>
  <c r="W91" i="1" s="1"/>
  <c r="X91" i="1" s="1"/>
  <c r="L92" i="1"/>
  <c r="M92" i="1" l="1"/>
  <c r="G92" i="1" s="1"/>
  <c r="H92" i="1" s="1"/>
  <c r="Z93" i="1" l="1"/>
  <c r="I92" i="1"/>
  <c r="V92" i="1" s="1"/>
  <c r="N92" i="1"/>
  <c r="U92" i="1" l="1"/>
  <c r="Q92" i="1"/>
  <c r="R92" i="1" s="1"/>
  <c r="K93" i="1" s="1"/>
  <c r="S92" i="1"/>
  <c r="T92" i="1" s="1"/>
  <c r="O92" i="1"/>
  <c r="P92" i="1" s="1"/>
  <c r="J93" i="1" s="1"/>
  <c r="L93" i="1" l="1"/>
  <c r="M93" i="1" s="1"/>
  <c r="Y92" i="1"/>
  <c r="W92" i="1" s="1"/>
  <c r="X92" i="1" s="1"/>
  <c r="G93" i="1" l="1"/>
  <c r="H93" i="1" s="1"/>
  <c r="Z94" i="1"/>
  <c r="I93" i="1" l="1"/>
  <c r="V93" i="1" s="1"/>
  <c r="N93" i="1"/>
  <c r="U93" i="1" l="1"/>
  <c r="O93" i="1"/>
  <c r="P93" i="1" s="1"/>
  <c r="J94" i="1" s="1"/>
  <c r="Q93" i="1"/>
  <c r="R93" i="1" s="1"/>
  <c r="S93" i="1"/>
  <c r="T93" i="1" s="1"/>
  <c r="K94" i="1" l="1"/>
  <c r="Y93" i="1"/>
  <c r="W93" i="1" s="1"/>
  <c r="X93" i="1" s="1"/>
  <c r="L94" i="1"/>
  <c r="M94" i="1" l="1"/>
  <c r="G94" i="1" s="1"/>
  <c r="H94" i="1" s="1"/>
  <c r="Z95" i="1"/>
  <c r="I94" i="1" l="1"/>
  <c r="V94" i="1" s="1"/>
  <c r="N94" i="1"/>
  <c r="U94" i="1" l="1"/>
  <c r="Q94" i="1"/>
  <c r="R94" i="1" s="1"/>
  <c r="K95" i="1" s="1"/>
  <c r="S94" i="1"/>
  <c r="T94" i="1" s="1"/>
  <c r="O94" i="1"/>
  <c r="P94" i="1" s="1"/>
  <c r="J95" i="1" l="1"/>
  <c r="Y94" i="1"/>
  <c r="W94" i="1" s="1"/>
  <c r="X94" i="1" s="1"/>
  <c r="L95" i="1"/>
  <c r="M95" i="1" l="1"/>
  <c r="G95" i="1" l="1"/>
  <c r="H95" i="1" s="1"/>
  <c r="Z96" i="1"/>
  <c r="I95" i="1" l="1"/>
  <c r="V95" i="1" s="1"/>
  <c r="N95" i="1"/>
  <c r="U95" i="1" l="1"/>
  <c r="Q95" i="1"/>
  <c r="R95" i="1" s="1"/>
  <c r="K96" i="1" s="1"/>
  <c r="S95" i="1"/>
  <c r="T95" i="1" s="1"/>
  <c r="O95" i="1"/>
  <c r="P95" i="1" s="1"/>
  <c r="J96" i="1" l="1"/>
  <c r="Y95" i="1"/>
  <c r="W95" i="1" s="1"/>
  <c r="X95" i="1" s="1"/>
  <c r="L96" i="1"/>
  <c r="M96" i="1" l="1"/>
  <c r="G96" i="1" s="1"/>
  <c r="H96" i="1" s="1"/>
  <c r="Z97" i="1" l="1"/>
  <c r="I96" i="1"/>
  <c r="V96" i="1" s="1"/>
  <c r="N96" i="1"/>
  <c r="U96" i="1" l="1"/>
  <c r="Q96" i="1"/>
  <c r="R96" i="1" s="1"/>
  <c r="K97" i="1" s="1"/>
  <c r="S96" i="1"/>
  <c r="T96" i="1" s="1"/>
  <c r="O96" i="1"/>
  <c r="P96" i="1" s="1"/>
  <c r="J97" i="1" s="1"/>
  <c r="L97" i="1" l="1"/>
  <c r="M97" i="1" s="1"/>
  <c r="Y96" i="1"/>
  <c r="W96" i="1" s="1"/>
  <c r="X96" i="1" s="1"/>
  <c r="G97" i="1" l="1"/>
  <c r="H97" i="1" s="1"/>
  <c r="Z98" i="1"/>
  <c r="I97" i="1" l="1"/>
  <c r="V97" i="1" s="1"/>
  <c r="N97" i="1"/>
  <c r="U97" i="1" l="1"/>
  <c r="S97" i="1"/>
  <c r="T97" i="1" s="1"/>
  <c r="Q97" i="1"/>
  <c r="R97" i="1" s="1"/>
  <c r="O97" i="1"/>
  <c r="P97" i="1" s="1"/>
  <c r="J98" i="1" s="1"/>
  <c r="K98" i="1" l="1"/>
  <c r="Y97" i="1"/>
  <c r="W97" i="1" s="1"/>
  <c r="X97" i="1" s="1"/>
  <c r="L98" i="1"/>
  <c r="M98" i="1" l="1"/>
  <c r="G98" i="1" s="1"/>
  <c r="H98" i="1" s="1"/>
  <c r="Z99" i="1" l="1"/>
  <c r="I98" i="1"/>
  <c r="V98" i="1" s="1"/>
  <c r="N98" i="1"/>
  <c r="U98" i="1" l="1"/>
  <c r="Q98" i="1"/>
  <c r="R98" i="1" s="1"/>
  <c r="K99" i="1" s="1"/>
  <c r="S98" i="1"/>
  <c r="T98" i="1" s="1"/>
  <c r="O98" i="1"/>
  <c r="P98" i="1" s="1"/>
  <c r="J99" i="1" l="1"/>
  <c r="Y98" i="1"/>
  <c r="W98" i="1" s="1"/>
  <c r="X98" i="1" s="1"/>
  <c r="L99" i="1"/>
  <c r="M99" i="1" l="1"/>
  <c r="G99" i="1" l="1"/>
  <c r="H99" i="1" s="1"/>
  <c r="Z100" i="1"/>
  <c r="I99" i="1" l="1"/>
  <c r="V99" i="1" s="1"/>
  <c r="N99" i="1"/>
  <c r="U99" i="1" l="1"/>
  <c r="O99" i="1"/>
  <c r="P99" i="1" s="1"/>
  <c r="J100" i="1" s="1"/>
  <c r="S99" i="1"/>
  <c r="T99" i="1" s="1"/>
  <c r="Q99" i="1"/>
  <c r="R99" i="1" s="1"/>
  <c r="K100" i="1" l="1"/>
  <c r="Y99" i="1"/>
  <c r="W99" i="1" s="1"/>
  <c r="X99" i="1" s="1"/>
  <c r="L100" i="1"/>
  <c r="M100" i="1" l="1"/>
  <c r="G100" i="1" s="1"/>
  <c r="H100" i="1" s="1"/>
  <c r="Z101" i="1"/>
  <c r="I100" i="1" l="1"/>
  <c r="V100" i="1" s="1"/>
  <c r="N100" i="1"/>
  <c r="U100" i="1" l="1"/>
  <c r="S100" i="1"/>
  <c r="T100" i="1" s="1"/>
  <c r="O100" i="1"/>
  <c r="P100" i="1" s="1"/>
  <c r="J101" i="1" s="1"/>
  <c r="Q100" i="1"/>
  <c r="R100" i="1" s="1"/>
  <c r="K101" i="1" s="1"/>
  <c r="Y100" i="1" l="1"/>
  <c r="W100" i="1" s="1"/>
  <c r="X100" i="1" s="1"/>
  <c r="L101" i="1"/>
  <c r="M101" i="1" s="1"/>
  <c r="G101" i="1" l="1"/>
  <c r="H101" i="1" s="1"/>
  <c r="Z102" i="1"/>
  <c r="I101" i="1" l="1"/>
  <c r="V101" i="1" s="1"/>
  <c r="N101" i="1"/>
  <c r="U101" i="1" l="1"/>
  <c r="S101" i="1"/>
  <c r="T101" i="1" s="1"/>
  <c r="O101" i="1"/>
  <c r="P101" i="1" s="1"/>
  <c r="J102" i="1" s="1"/>
  <c r="Q101" i="1"/>
  <c r="R101" i="1" s="1"/>
  <c r="K102" i="1" l="1"/>
  <c r="Y101" i="1"/>
  <c r="W101" i="1" s="1"/>
  <c r="X101" i="1" s="1"/>
  <c r="L102" i="1"/>
  <c r="M102" i="1" l="1"/>
  <c r="G102" i="1" s="1"/>
  <c r="H102" i="1" s="1"/>
  <c r="Z103" i="1"/>
  <c r="I102" i="1" l="1"/>
  <c r="V102" i="1" s="1"/>
  <c r="N102" i="1"/>
  <c r="U102" i="1" l="1"/>
  <c r="S102" i="1"/>
  <c r="T102" i="1" s="1"/>
  <c r="O102" i="1"/>
  <c r="P102" i="1" s="1"/>
  <c r="J103" i="1" s="1"/>
  <c r="Q102" i="1"/>
  <c r="R102" i="1" s="1"/>
  <c r="K103" i="1" l="1"/>
  <c r="Y102" i="1"/>
  <c r="W102" i="1" s="1"/>
  <c r="X102" i="1" s="1"/>
  <c r="L103" i="1"/>
  <c r="M103" i="1" l="1"/>
  <c r="G103" i="1" s="1"/>
  <c r="H103" i="1" s="1"/>
  <c r="Z104" i="1" l="1"/>
  <c r="I103" i="1"/>
  <c r="V103" i="1" s="1"/>
  <c r="N103" i="1"/>
  <c r="U103" i="1" l="1"/>
  <c r="S103" i="1"/>
  <c r="T103" i="1" s="1"/>
  <c r="O103" i="1"/>
  <c r="P103" i="1" s="1"/>
  <c r="J104" i="1" s="1"/>
  <c r="Q103" i="1"/>
  <c r="R103" i="1" s="1"/>
  <c r="K104" i="1" l="1"/>
  <c r="Y103" i="1"/>
  <c r="W103" i="1" s="1"/>
  <c r="X103" i="1" s="1"/>
  <c r="L104" i="1"/>
  <c r="M104" i="1" l="1"/>
  <c r="G104" i="1" s="1"/>
  <c r="H104" i="1" s="1"/>
  <c r="Z105" i="1" l="1"/>
  <c r="I104" i="1"/>
  <c r="V104" i="1" s="1"/>
  <c r="N104" i="1"/>
  <c r="U104" i="1" l="1"/>
  <c r="Q104" i="1"/>
  <c r="R104" i="1" s="1"/>
  <c r="K105" i="1" s="1"/>
  <c r="S104" i="1"/>
  <c r="T104" i="1" s="1"/>
  <c r="O104" i="1"/>
  <c r="P104" i="1" s="1"/>
  <c r="J105" i="1" l="1"/>
  <c r="Y104" i="1"/>
  <c r="W104" i="1" s="1"/>
  <c r="X104" i="1" s="1"/>
  <c r="L105" i="1"/>
  <c r="M105" i="1" l="1"/>
  <c r="G105" i="1" s="1"/>
  <c r="H105" i="1" s="1"/>
  <c r="Z106" i="1"/>
  <c r="I105" i="1" l="1"/>
  <c r="V105" i="1" s="1"/>
  <c r="N105" i="1"/>
  <c r="U105" i="1" l="1"/>
  <c r="O105" i="1"/>
  <c r="P105" i="1" s="1"/>
  <c r="J106" i="1" s="1"/>
  <c r="S105" i="1"/>
  <c r="T105" i="1" s="1"/>
  <c r="Q105" i="1"/>
  <c r="R105" i="1" s="1"/>
  <c r="K106" i="1" s="1"/>
  <c r="L106" i="1" l="1"/>
  <c r="M106" i="1" s="1"/>
  <c r="Y105" i="1"/>
  <c r="W105" i="1" s="1"/>
  <c r="X105" i="1" s="1"/>
  <c r="G106" i="1" l="1"/>
  <c r="H106" i="1" s="1"/>
  <c r="Z107" i="1"/>
  <c r="I106" i="1" l="1"/>
  <c r="V106" i="1" s="1"/>
  <c r="N106" i="1"/>
  <c r="U106" i="1" l="1"/>
  <c r="S106" i="1"/>
  <c r="T106" i="1" s="1"/>
  <c r="Q106" i="1"/>
  <c r="R106" i="1" s="1"/>
  <c r="K107" i="1" s="1"/>
  <c r="O106" i="1"/>
  <c r="P106" i="1" s="1"/>
  <c r="J107" i="1" l="1"/>
  <c r="Y106" i="1"/>
  <c r="W106" i="1" s="1"/>
  <c r="X106" i="1" s="1"/>
  <c r="L107" i="1"/>
  <c r="M107" i="1" l="1"/>
  <c r="G107" i="1" s="1"/>
  <c r="H107" i="1" s="1"/>
  <c r="Z108" i="1"/>
  <c r="I107" i="1" l="1"/>
  <c r="V107" i="1" s="1"/>
  <c r="N107" i="1"/>
  <c r="U107" i="1" l="1"/>
  <c r="S107" i="1"/>
  <c r="T107" i="1" s="1"/>
  <c r="O107" i="1"/>
  <c r="P107" i="1" s="1"/>
  <c r="J108" i="1" s="1"/>
  <c r="Q107" i="1"/>
  <c r="R107" i="1" s="1"/>
  <c r="K108" i="1" l="1"/>
  <c r="Y107" i="1"/>
  <c r="W107" i="1" s="1"/>
  <c r="X107" i="1" s="1"/>
  <c r="L108" i="1"/>
  <c r="M108" i="1" l="1"/>
  <c r="G108" i="1" s="1"/>
  <c r="H108" i="1" s="1"/>
  <c r="Z109" i="1"/>
  <c r="I108" i="1" l="1"/>
  <c r="V108" i="1" s="1"/>
  <c r="N108" i="1"/>
  <c r="U108" i="1" l="1"/>
  <c r="S108" i="1"/>
  <c r="T108" i="1" s="1"/>
  <c r="Q108" i="1"/>
  <c r="R108" i="1" s="1"/>
  <c r="K109" i="1" s="1"/>
  <c r="O108" i="1"/>
  <c r="P108" i="1" s="1"/>
  <c r="J109" i="1" l="1"/>
  <c r="Y108" i="1"/>
  <c r="W108" i="1" s="1"/>
  <c r="X108" i="1" s="1"/>
  <c r="L109" i="1"/>
  <c r="M109" i="1" l="1"/>
  <c r="G109" i="1" l="1"/>
  <c r="H109" i="1" s="1"/>
  <c r="Z110" i="1"/>
  <c r="I109" i="1" l="1"/>
  <c r="V109" i="1" s="1"/>
  <c r="N109" i="1"/>
  <c r="U109" i="1" l="1"/>
  <c r="S109" i="1"/>
  <c r="T109" i="1" s="1"/>
  <c r="O109" i="1"/>
  <c r="P109" i="1" s="1"/>
  <c r="J110" i="1" s="1"/>
  <c r="Q109" i="1"/>
  <c r="R109" i="1" s="1"/>
  <c r="K110" i="1" l="1"/>
  <c r="Y109" i="1"/>
  <c r="W109" i="1" s="1"/>
  <c r="X109" i="1" s="1"/>
  <c r="L110" i="1"/>
  <c r="M110" i="1" l="1"/>
  <c r="G110" i="1" s="1"/>
  <c r="H110" i="1" s="1"/>
  <c r="Z111" i="1"/>
  <c r="I110" i="1" l="1"/>
  <c r="V110" i="1" s="1"/>
  <c r="N110" i="1"/>
  <c r="U110" i="1" l="1"/>
  <c r="Q110" i="1"/>
  <c r="R110" i="1" s="1"/>
  <c r="K111" i="1" s="1"/>
  <c r="O110" i="1"/>
  <c r="P110" i="1" s="1"/>
  <c r="S110" i="1"/>
  <c r="T110" i="1" s="1"/>
  <c r="J111" i="1" l="1"/>
  <c r="Y110" i="1"/>
  <c r="W110" i="1" s="1"/>
  <c r="X110" i="1" s="1"/>
  <c r="L111" i="1"/>
  <c r="M111" i="1" l="1"/>
  <c r="G111" i="1" l="1"/>
  <c r="H111" i="1" s="1"/>
  <c r="Z112" i="1"/>
  <c r="I111" i="1" l="1"/>
  <c r="V111" i="1" s="1"/>
  <c r="N111" i="1"/>
  <c r="U111" i="1" l="1"/>
  <c r="O111" i="1"/>
  <c r="P111" i="1" s="1"/>
  <c r="J112" i="1" s="1"/>
  <c r="Q111" i="1"/>
  <c r="R111" i="1" s="1"/>
  <c r="K112" i="1" s="1"/>
  <c r="S111" i="1"/>
  <c r="T111" i="1" s="1"/>
  <c r="Y111" i="1" l="1"/>
  <c r="W111" i="1" s="1"/>
  <c r="X111" i="1" s="1"/>
  <c r="L112" i="1"/>
  <c r="M112" i="1" s="1"/>
  <c r="G112" i="1" l="1"/>
  <c r="H112" i="1" s="1"/>
  <c r="Z113" i="1"/>
  <c r="I112" i="1" l="1"/>
  <c r="V112" i="1" s="1"/>
  <c r="N112" i="1"/>
  <c r="U112" i="1" l="1"/>
  <c r="S112" i="1"/>
  <c r="T112" i="1" s="1"/>
  <c r="O112" i="1"/>
  <c r="P112" i="1" s="1"/>
  <c r="J113" i="1" s="1"/>
  <c r="Q112" i="1"/>
  <c r="R112" i="1" s="1"/>
  <c r="K113" i="1" l="1"/>
  <c r="Y112" i="1"/>
  <c r="W112" i="1" s="1"/>
  <c r="X112" i="1" s="1"/>
  <c r="L113" i="1"/>
  <c r="M113" i="1" l="1"/>
  <c r="G113" i="1" s="1"/>
  <c r="H113" i="1" s="1"/>
  <c r="Z114" i="1"/>
  <c r="I113" i="1" l="1"/>
  <c r="V113" i="1" s="1"/>
  <c r="N113" i="1"/>
  <c r="U113" i="1" l="1"/>
  <c r="O113" i="1"/>
  <c r="P113" i="1" s="1"/>
  <c r="J114" i="1" s="1"/>
  <c r="Q113" i="1"/>
  <c r="R113" i="1" s="1"/>
  <c r="S113" i="1"/>
  <c r="T113" i="1" s="1"/>
  <c r="K114" i="1" l="1"/>
  <c r="Y113" i="1"/>
  <c r="W113" i="1" s="1"/>
  <c r="X113" i="1" s="1"/>
  <c r="L114" i="1"/>
  <c r="M114" i="1" l="1"/>
  <c r="G114" i="1" s="1"/>
  <c r="H114" i="1" s="1"/>
  <c r="Z115" i="1"/>
  <c r="I114" i="1" l="1"/>
  <c r="V114" i="1" s="1"/>
  <c r="N114" i="1"/>
  <c r="U114" i="1" l="1"/>
  <c r="O114" i="1"/>
  <c r="P114" i="1" s="1"/>
  <c r="J115" i="1" s="1"/>
  <c r="Q114" i="1"/>
  <c r="R114" i="1" s="1"/>
  <c r="K115" i="1" s="1"/>
  <c r="S114" i="1"/>
  <c r="T114" i="1" s="1"/>
  <c r="L115" i="1" l="1"/>
  <c r="M115" i="1" s="1"/>
  <c r="Y114" i="1"/>
  <c r="W114" i="1" s="1"/>
  <c r="X114" i="1" s="1"/>
  <c r="G115" i="1" l="1"/>
  <c r="H115" i="1" s="1"/>
  <c r="Z116" i="1"/>
  <c r="I115" i="1" l="1"/>
  <c r="V115" i="1" s="1"/>
  <c r="N115" i="1"/>
  <c r="U115" i="1" l="1"/>
  <c r="S115" i="1"/>
  <c r="T115" i="1" s="1"/>
  <c r="Q115" i="1"/>
  <c r="R115" i="1" s="1"/>
  <c r="K116" i="1" s="1"/>
  <c r="O115" i="1"/>
  <c r="P115" i="1" s="1"/>
  <c r="J116" i="1" l="1"/>
  <c r="Y115" i="1"/>
  <c r="W115" i="1" s="1"/>
  <c r="X115" i="1" s="1"/>
  <c r="L116" i="1"/>
  <c r="M116" i="1" l="1"/>
  <c r="G116" i="1" s="1"/>
  <c r="H116" i="1" s="1"/>
  <c r="Z117" i="1"/>
  <c r="I116" i="1" l="1"/>
  <c r="V116" i="1" s="1"/>
  <c r="N116" i="1"/>
  <c r="U116" i="1" l="1"/>
  <c r="Q116" i="1"/>
  <c r="R116" i="1" s="1"/>
  <c r="K117" i="1" s="1"/>
  <c r="S116" i="1"/>
  <c r="T116" i="1" s="1"/>
  <c r="O116" i="1"/>
  <c r="P116" i="1" s="1"/>
  <c r="J117" i="1" l="1"/>
  <c r="Y116" i="1"/>
  <c r="W116" i="1" s="1"/>
  <c r="X116" i="1" s="1"/>
  <c r="L117" i="1"/>
  <c r="M117" i="1" l="1"/>
  <c r="G117" i="1" s="1"/>
  <c r="H117" i="1" s="1"/>
  <c r="Z118" i="1"/>
  <c r="I117" i="1" l="1"/>
  <c r="V117" i="1" s="1"/>
  <c r="N117" i="1"/>
  <c r="U117" i="1" l="1"/>
  <c r="O117" i="1"/>
  <c r="P117" i="1" s="1"/>
  <c r="J118" i="1" s="1"/>
  <c r="Q117" i="1"/>
  <c r="R117" i="1" s="1"/>
  <c r="K118" i="1" s="1"/>
  <c r="S117" i="1"/>
  <c r="T117" i="1" s="1"/>
  <c r="Y117" i="1" l="1"/>
  <c r="W117" i="1" s="1"/>
  <c r="X117" i="1" s="1"/>
  <c r="L118" i="1"/>
  <c r="M118" i="1" s="1"/>
  <c r="G118" i="1" l="1"/>
  <c r="H118" i="1" s="1"/>
  <c r="Z119" i="1"/>
  <c r="Z122" i="1" s="1"/>
  <c r="I118" i="1" l="1"/>
  <c r="V118" i="1" s="1"/>
  <c r="N118" i="1"/>
  <c r="U118" i="1" l="1"/>
  <c r="O118" i="1"/>
  <c r="P118" i="1" s="1"/>
  <c r="J119" i="1" s="1"/>
  <c r="S118" i="1"/>
  <c r="T118" i="1" s="1"/>
  <c r="Q118" i="1"/>
  <c r="R118" i="1" s="1"/>
  <c r="K119" i="1" s="1"/>
  <c r="L119" i="1" l="1"/>
  <c r="M119" i="1" s="1"/>
  <c r="G119" i="1" s="1"/>
  <c r="H119" i="1" s="1"/>
  <c r="H121" i="1" s="1"/>
  <c r="I121" i="1" s="1"/>
  <c r="Y118" i="1"/>
  <c r="W118" i="1" s="1"/>
  <c r="X118" i="1" s="1"/>
  <c r="I119" i="1" l="1"/>
  <c r="V119" i="1" s="1"/>
  <c r="N119" i="1"/>
  <c r="N123" i="1" l="1"/>
  <c r="N121" i="1"/>
  <c r="N122" i="1"/>
  <c r="U119" i="1"/>
  <c r="S119" i="1"/>
  <c r="T119" i="1" s="1"/>
  <c r="O119" i="1"/>
  <c r="Q119" i="1"/>
  <c r="R119" i="1" s="1"/>
  <c r="P119" i="1" l="1"/>
  <c r="Y119" i="1" s="1"/>
  <c r="W119" i="1" s="1"/>
  <c r="R122" i="1"/>
  <c r="R123" i="1"/>
  <c r="R121" i="1"/>
  <c r="X119" i="1" l="1"/>
  <c r="W122" i="1" s="1"/>
  <c r="W121" i="1"/>
  <c r="D22" i="2" l="1"/>
  <c r="B8" i="2"/>
  <c r="I9" i="2"/>
  <c r="I21" i="2"/>
  <c r="E16" i="2"/>
  <c r="B16" i="2"/>
  <c r="F10" i="2"/>
  <c r="H10" i="2"/>
  <c r="C12" i="2"/>
  <c r="I6" i="2"/>
  <c r="G7" i="2"/>
  <c r="I8" i="2"/>
  <c r="I20" i="2"/>
  <c r="F23" i="2"/>
  <c r="B21" i="2"/>
  <c r="F18" i="2"/>
  <c r="B20" i="2"/>
  <c r="H12" i="2"/>
  <c r="E17" i="2"/>
  <c r="D13" i="2"/>
  <c r="I5" i="2"/>
  <c r="F7" i="2"/>
  <c r="F14" i="2"/>
  <c r="C14" i="2"/>
  <c r="B18" i="2"/>
  <c r="D14" i="2"/>
  <c r="I22" i="2"/>
  <c r="G12" i="2"/>
  <c r="F22" i="2"/>
  <c r="D18" i="2"/>
  <c r="B4" i="2"/>
  <c r="E13" i="2"/>
  <c r="C13" i="2"/>
  <c r="I17" i="2"/>
  <c r="B12" i="2"/>
  <c r="H22" i="2"/>
  <c r="C15" i="2"/>
  <c r="G18" i="2"/>
  <c r="D12" i="2"/>
  <c r="H6" i="2"/>
  <c r="H4" i="2"/>
  <c r="F15" i="2"/>
  <c r="D9" i="2"/>
  <c r="D5" i="2"/>
  <c r="F13" i="2"/>
  <c r="G10" i="2"/>
  <c r="I16" i="2"/>
  <c r="E7" i="2"/>
  <c r="D10" i="2"/>
  <c r="E8" i="2"/>
  <c r="F11" i="2"/>
  <c r="G4" i="2"/>
  <c r="F9" i="2"/>
  <c r="B10" i="2"/>
  <c r="G13" i="2"/>
  <c r="G6" i="2"/>
  <c r="I4" i="2"/>
  <c r="E5" i="2"/>
  <c r="D17" i="2"/>
  <c r="H9" i="2"/>
  <c r="F6" i="2"/>
  <c r="G16" i="2"/>
  <c r="C21" i="2"/>
  <c r="E19" i="2"/>
  <c r="D7" i="2"/>
  <c r="E22" i="2"/>
  <c r="B13" i="2"/>
  <c r="G11" i="2"/>
  <c r="G5" i="2"/>
  <c r="H5" i="2"/>
  <c r="F8" i="2"/>
  <c r="H18" i="2"/>
  <c r="C6" i="2"/>
  <c r="E12" i="2"/>
  <c r="H7" i="2"/>
  <c r="I7" i="2"/>
  <c r="B9" i="2"/>
  <c r="C18" i="2"/>
  <c r="B15" i="2"/>
  <c r="D15" i="2"/>
  <c r="C7" i="2"/>
  <c r="E14" i="2"/>
  <c r="E18" i="2"/>
  <c r="B11" i="2"/>
  <c r="G23" i="2"/>
  <c r="H8" i="2"/>
  <c r="E15" i="2"/>
  <c r="F19" i="2"/>
  <c r="D23" i="2"/>
  <c r="E20" i="2"/>
  <c r="C20" i="2"/>
  <c r="E11" i="2"/>
  <c r="C17" i="2"/>
  <c r="B19" i="2"/>
  <c r="C11" i="2"/>
  <c r="D11" i="2"/>
  <c r="E6" i="2"/>
  <c r="C8" i="2"/>
  <c r="H13" i="2"/>
  <c r="E9" i="2"/>
  <c r="F5" i="2"/>
  <c r="I10" i="2"/>
  <c r="H19" i="2"/>
  <c r="D4" i="2"/>
  <c r="H21" i="2"/>
  <c r="D16" i="2"/>
  <c r="C5" i="2"/>
  <c r="I13" i="2"/>
  <c r="E4" i="2"/>
  <c r="F4" i="2"/>
  <c r="I14" i="2"/>
  <c r="D20" i="2"/>
  <c r="I12" i="2"/>
  <c r="B22" i="2"/>
  <c r="G17" i="2"/>
  <c r="F12" i="2"/>
  <c r="F17" i="2"/>
  <c r="G15" i="2"/>
  <c r="I15" i="2"/>
  <c r="H16" i="2"/>
  <c r="C9" i="2"/>
  <c r="B23" i="2"/>
  <c r="D6" i="2"/>
  <c r="H15" i="2"/>
  <c r="F16" i="2"/>
  <c r="B5" i="2"/>
  <c r="B6" i="2"/>
  <c r="H14" i="2"/>
  <c r="E10" i="2"/>
  <c r="F20" i="2"/>
  <c r="H17" i="2"/>
  <c r="C22" i="2"/>
  <c r="I19" i="2"/>
  <c r="D8" i="2"/>
  <c r="G20" i="2"/>
  <c r="H20" i="2"/>
  <c r="E23" i="2"/>
  <c r="B7" i="2"/>
  <c r="G8" i="2"/>
  <c r="B14" i="2"/>
  <c r="G22" i="2"/>
  <c r="G14" i="2"/>
  <c r="I11" i="2"/>
  <c r="E21" i="2"/>
  <c r="G19" i="2"/>
  <c r="D21" i="2"/>
  <c r="I18" i="2"/>
  <c r="C4" i="2"/>
  <c r="I23" i="2"/>
  <c r="H23" i="2"/>
  <c r="C19" i="2"/>
  <c r="G21" i="2"/>
  <c r="C23" i="2"/>
  <c r="C10" i="2"/>
  <c r="H11" i="2"/>
  <c r="G9" i="2"/>
  <c r="C16" i="2"/>
  <c r="D19" i="2"/>
  <c r="F21" i="2"/>
  <c r="B17" i="2"/>
</calcChain>
</file>

<file path=xl/sharedStrings.xml><?xml version="1.0" encoding="utf-8"?>
<sst xmlns="http://schemas.openxmlformats.org/spreadsheetml/2006/main" count="318" uniqueCount="113">
  <si>
    <t>Табличная модель системы массового обслуживания с 3 серверами и ограничением времени ожидания</t>
  </si>
  <si>
    <t>Начало</t>
  </si>
  <si>
    <t>Конец</t>
  </si>
  <si>
    <t>Уйти, если ожидание больше</t>
  </si>
  <si>
    <t>мин</t>
  </si>
  <si>
    <t>вероятность</t>
  </si>
  <si>
    <t xml:space="preserve">нижняя </t>
  </si>
  <si>
    <t>время</t>
  </si>
  <si>
    <t xml:space="preserve"> сервиса</t>
  </si>
  <si>
    <t xml:space="preserve"> (мин)</t>
  </si>
  <si>
    <t xml:space="preserve">верхняя </t>
  </si>
  <si>
    <t>граница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</si>
  <si>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</si>
  <si>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</si>
  <si>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</si>
  <si>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</si>
  <si>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</si>
  <si>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</si>
  <si>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</si>
  <si>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</si>
  <si>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</si>
  <si>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</si>
  <si>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</si>
  <si>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</si>
  <si>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</si>
  <si>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</si>
  <si>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</si>
  <si>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</si>
  <si>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</si>
  <si>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</si>
  <si>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</si>
  <si>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</si>
  <si>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</si>
  <si>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1 факт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</si>
  <si>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</si>
  <si>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</si>
  <si>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</si>
  <si>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</si>
  <si>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</si>
  <si>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</si>
  <si>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</si>
  <si>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</si>
  <si>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</si>
  <si>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</si>
  <si>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</si>
  <si>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</si>
  <si>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</si>
  <si>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</si>
  <si>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</si>
  <si>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</si>
  <si>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</si>
  <si>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</si>
  <si>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</si>
  <si>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</si>
  <si>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(мин)</t>
  </si>
  <si>
    <t>клиентами</t>
  </si>
  <si>
    <t>(ч:мин)</t>
  </si>
  <si>
    <t>ждать ?</t>
  </si>
  <si>
    <t>(с отказами)</t>
  </si>
  <si>
    <t>среднее время обслуживания</t>
  </si>
  <si>
    <t>среднее время в очереди</t>
  </si>
  <si>
    <t>кол-во клиентов 1</t>
  </si>
  <si>
    <t>кол-во клиентов 2</t>
  </si>
  <si>
    <t>кол-во клиентов 3</t>
  </si>
  <si>
    <t>макс. очередь</t>
  </si>
  <si>
    <t>полезная нагрузка 1</t>
  </si>
  <si>
    <t>полезная нагрузка 2</t>
  </si>
  <si>
    <t>полезная нагрузка 3</t>
  </si>
  <si>
    <t>потеряно клиентов</t>
  </si>
  <si>
    <t>Эксперимент 1 по модели с 3 серверами и 1 очередью(100)</t>
  </si>
  <si>
    <t>Счётчик прогонов:</t>
  </si>
  <si>
    <t>№       экспе-римента</t>
  </si>
  <si>
    <t>среднее время пребывания в системе</t>
  </si>
  <si>
    <t>количество потерянных заявок на обслуживание</t>
  </si>
  <si>
    <t>макс. размер очереди</t>
  </si>
  <si>
    <t>Итог</t>
  </si>
  <si>
    <t>№       эксперимента</t>
  </si>
  <si>
    <t>Результат эксперимента 1</t>
  </si>
  <si>
    <t>IAT</t>
  </si>
  <si>
    <t>ST</t>
  </si>
  <si>
    <t>Начало работы</t>
  </si>
  <si>
    <t>Конец работы</t>
  </si>
  <si>
    <t>Уйти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</si>
  <si>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</si>
  <si>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</si>
  <si>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</si>
  <si>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</si>
  <si>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</si>
  <si>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</si>
  <si>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</si>
  <si>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</si>
  <si>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</si>
  <si>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</si>
  <si>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</si>
  <si>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</si>
  <si>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</si>
  <si>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Среднее время пребывания</t>
  </si>
  <si>
    <t>Среднее время обслуживания</t>
  </si>
  <si>
    <t>Коэффициент полезной нагрузки сервера 1</t>
  </si>
  <si>
    <t>Коэффициент полезной нагрузки сервера 2</t>
  </si>
  <si>
    <t>Коэффициент полезной нагрузки сервера 3</t>
  </si>
  <si>
    <t>Количество потерянных клиентов</t>
  </si>
  <si>
    <t>Наибольший(2)</t>
  </si>
  <si>
    <t>Наименьший(2)</t>
  </si>
  <si>
    <t xml:space="preserve">               </t>
  </si>
  <si>
    <t>Частота</t>
  </si>
  <si>
    <t>частота</t>
  </si>
  <si>
    <t>&gt;16</t>
  </si>
  <si>
    <t>Карман</t>
  </si>
  <si>
    <t>коэффициент полезной загрузки сервера 1</t>
  </si>
  <si>
    <t>коэффициент полезной загрузки сервера 2</t>
  </si>
  <si>
    <t>коэффициент полезной загрузки сервера 3</t>
  </si>
  <si>
    <t>длительность обслуживания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</si>
</sst>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73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20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20" fontId="4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4" borderId="0" xfId="0" applyFont="1" applyFill="1" applyAlignment="1" applyProtection="1">
      <alignment horizontal="center"/>
      <protection locked="0"/>
    </xf>
    <xf numFmtId="20" fontId="4" fillId="0" borderId="0" xfId="0" applyNumberFormat="1" applyFont="1" applyAlignment="1" applyProtection="1">
      <alignment horizontal="center"/>
      <protection locked="0"/>
    </xf>
    <xf numFmtId="20" fontId="4" fillId="0" borderId="0" xfId="0" applyNumberFormat="1" applyFont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164" fontId="0" fillId="0" borderId="0" xfId="0" applyNumberFormat="1"/>
    <xf numFmtId="0" fontId="5" fillId="0" borderId="0" xfId="0" applyFont="1"/>
    <xf numFmtId="0" fontId="7" fillId="0" borderId="0" xfId="0" applyFont="1"/>
    <xf numFmtId="0" fontId="8" fillId="0" borderId="0" xfId="0" applyFont="1"/>
    <xf numFmtId="10" fontId="8" fillId="0" borderId="0" xfId="0" applyNumberFormat="1" applyFont="1"/>
    <xf numFmtId="0" fontId="9" fillId="0" borderId="0" xfId="0" applyFont="1"/>
    <xf numFmtId="10" fontId="5" fillId="0" borderId="0" xfId="0" applyNumberFormat="1" applyFont="1"/>
    <xf numFmtId="0" fontId="10" fillId="0" borderId="0" xfId="0" applyFont="1"/>
    <xf numFmtId="0" fontId="1" fillId="0" borderId="15" xfId="0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10" fontId="0" fillId="0" borderId="0" xfId="0" applyNumberFormat="1"/>
    <xf numFmtId="20" fontId="0" fillId="0" borderId="0" xfId="0" applyNumberFormat="1"/>
    <xf numFmtId="0" fontId="1" fillId="3" borderId="7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13" xfId="0" applyFill="1" applyBorder="1" applyAlignment="1"/>
    <xf numFmtId="0" fontId="11" fillId="0" borderId="16" xfId="0" applyFont="1" applyFill="1" applyBorder="1" applyAlignment="1">
      <alignment horizontal="centerContinuous"/>
    </xf>
    <xf numFmtId="0" fontId="11" fillId="0" borderId="16" xfId="0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/>
    <xf numFmtId="0" fontId="0" fillId="0" borderId="0" xfId="0" applyFill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5" xfId="0" applyBorder="1"/>
    <xf numFmtId="164" fontId="0" fillId="0" borderId="15" xfId="0" applyNumberFormat="1" applyBorder="1"/>
    <xf numFmtId="0" fontId="1" fillId="0" borderId="15" xfId="0" applyFont="1" applyBorder="1" applyAlignment="1">
      <alignment horizontal="center" vertical="center"/>
    </xf>
    <xf numFmtId="0" fontId="11" fillId="0" borderId="16" xfId="0" applyFont="1" applyFill="1" applyBorder="1" applyAlignment="1">
      <alignment horizontal="center"/>
    </xf>
    <xf numFmtId="0" fontId="0" fillId="0" borderId="13" xfId="0" applyFill="1" applyBorder="1" applyAlignment="1">
      <alignment horizontal="right"/>
    </xf>
    <xf numFmtId="173" fontId="0" fillId="0" borderId="0" xfId="0" applyNumberFormat="1" applyFill="1" applyBorder="1" applyAlignment="1"/>
    <xf numFmtId="0" fontId="1" fillId="0" borderId="17" xfId="0" applyFont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3">
    <dxf>
      <numFmt numFmtId="164" formatCode="[$-F400]h:mm:ss\ AM/PM"/>
    </dxf>
    <dxf>
      <numFmt numFmtId="14" formatCode="0.00%"/>
    </dxf>
    <dxf>
      <numFmt numFmtId="14" formatCode="0.00%"/>
    </dxf>
    <dxf>
      <numFmt numFmtId="14" formatCode="0.00%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4" formatCode="0.00%"/>
    </dxf>
    <dxf>
      <numFmt numFmtId="14" formatCode="0.00%"/>
    </dxf>
    <dxf>
      <numFmt numFmtId="14" formatCode="0.00%"/>
    </dxf>
    <dxf>
      <numFmt numFmtId="164" formatCode="[$-F400]h:mm:ss\ AM/PM"/>
    </dxf>
    <dxf>
      <numFmt numFmtId="164" formatCode="[$-F400]h:mm:ss\ AM/P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numFmt numFmtId="164" formatCode="[$-F400]h:mm:ss\ AM/PM"/>
    </dxf>
    <dxf>
      <numFmt numFmtId="14" formatCode="0.00%"/>
    </dxf>
    <dxf>
      <numFmt numFmtId="14" formatCode="0.00%"/>
    </dxf>
    <dxf>
      <numFmt numFmtId="14" formatCode="0.00%"/>
    </dxf>
    <dxf>
      <numFmt numFmtId="164" formatCode="[$-F400]h:mm:ss\ AM/PM"/>
    </dxf>
    <dxf>
      <numFmt numFmtId="164" formatCode="[$-F400]h:mm:ss\ AM/PM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2"/>
          <c:order val="0"/>
          <c:tx>
            <c:v>Загрузка серверов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9-4488-A69F-7F22514623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9-4488-A69F-7F22514623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69-4488-A69F-7F2251462386}"/>
              </c:ext>
            </c:extLst>
          </c:dPt>
          <c:val>
            <c:numRef>
              <c:f>модель!$R$121:$R$123</c:f>
              <c:numCache>
                <c:formatCode>0.00%</c:formatCode>
                <c:ptCount val="3"/>
                <c:pt idx="0">
                  <c:v>0.30769230769230771</c:v>
                </c:pt>
                <c:pt idx="1">
                  <c:v>0.39560439560439559</c:v>
                </c:pt>
                <c:pt idx="2">
                  <c:v>0.2967032967032967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91-461C-BE63-7B20A7226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Временная</a:t>
            </a:r>
            <a:r>
              <a:rPr lang="ru-RU" baseline="0"/>
              <a:t> диаграмма загрузки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модель!$M$20:$M$119</c:f>
              <c:numCache>
                <c:formatCode>[$-F400]h:mm:ss\ AM/PM</c:formatCode>
                <c:ptCount val="100"/>
                <c:pt idx="0">
                  <c:v>0.37638888888888888</c:v>
                </c:pt>
                <c:pt idx="1">
                  <c:v>0.37708333333333333</c:v>
                </c:pt>
                <c:pt idx="2">
                  <c:v>0.37777777777777777</c:v>
                </c:pt>
                <c:pt idx="3">
                  <c:v>0.37847222222222221</c:v>
                </c:pt>
                <c:pt idx="4">
                  <c:v>0.38055555555555554</c:v>
                </c:pt>
                <c:pt idx="5">
                  <c:v>0.38124999999999998</c:v>
                </c:pt>
                <c:pt idx="6">
                  <c:v>0.3833333333333333</c:v>
                </c:pt>
                <c:pt idx="7">
                  <c:v>0.38472222222222219</c:v>
                </c:pt>
                <c:pt idx="8">
                  <c:v>0.38541666666666663</c:v>
                </c:pt>
                <c:pt idx="9">
                  <c:v>0.38680555555555551</c:v>
                </c:pt>
                <c:pt idx="10">
                  <c:v>0.38888888888888884</c:v>
                </c:pt>
                <c:pt idx="11">
                  <c:v>0.39166666666666661</c:v>
                </c:pt>
                <c:pt idx="12">
                  <c:v>0.39236111111111105</c:v>
                </c:pt>
                <c:pt idx="13">
                  <c:v>0.39513888888888882</c:v>
                </c:pt>
                <c:pt idx="14">
                  <c:v>0.39513888888888882</c:v>
                </c:pt>
                <c:pt idx="15">
                  <c:v>0.39583333333333326</c:v>
                </c:pt>
                <c:pt idx="16">
                  <c:v>0.39583333333333326</c:v>
                </c:pt>
                <c:pt idx="17">
                  <c:v>0.39930555555555547</c:v>
                </c:pt>
                <c:pt idx="18">
                  <c:v>0.39930555555555547</c:v>
                </c:pt>
                <c:pt idx="19">
                  <c:v>0.39930555555555547</c:v>
                </c:pt>
                <c:pt idx="20">
                  <c:v>0.4013888888888888</c:v>
                </c:pt>
                <c:pt idx="21">
                  <c:v>0.40277777777777768</c:v>
                </c:pt>
                <c:pt idx="22">
                  <c:v>0.40277777777777768</c:v>
                </c:pt>
                <c:pt idx="23">
                  <c:v>0.40833333333333321</c:v>
                </c:pt>
                <c:pt idx="24">
                  <c:v>0.40833333333333321</c:v>
                </c:pt>
                <c:pt idx="25">
                  <c:v>0.40833333333333321</c:v>
                </c:pt>
                <c:pt idx="26">
                  <c:v>0.4097222222222221</c:v>
                </c:pt>
                <c:pt idx="27">
                  <c:v>0.4097222222222221</c:v>
                </c:pt>
                <c:pt idx="28">
                  <c:v>0.41041666666666654</c:v>
                </c:pt>
                <c:pt idx="29">
                  <c:v>0.41180555555555542</c:v>
                </c:pt>
                <c:pt idx="30">
                  <c:v>0.41319444444444431</c:v>
                </c:pt>
                <c:pt idx="31">
                  <c:v>0.41458333333333319</c:v>
                </c:pt>
                <c:pt idx="32">
                  <c:v>0.41666666666666652</c:v>
                </c:pt>
                <c:pt idx="33">
                  <c:v>0.41874999999999984</c:v>
                </c:pt>
                <c:pt idx="34">
                  <c:v>0.42013888888888873</c:v>
                </c:pt>
                <c:pt idx="35">
                  <c:v>0.42222222222222205</c:v>
                </c:pt>
                <c:pt idx="36">
                  <c:v>0.42361111111111094</c:v>
                </c:pt>
                <c:pt idx="37">
                  <c:v>0.42430555555555538</c:v>
                </c:pt>
                <c:pt idx="38">
                  <c:v>0.42569444444444426</c:v>
                </c:pt>
                <c:pt idx="39">
                  <c:v>0.42777777777777759</c:v>
                </c:pt>
                <c:pt idx="40">
                  <c:v>0.42847222222222203</c:v>
                </c:pt>
                <c:pt idx="41">
                  <c:v>0.42916666666666647</c:v>
                </c:pt>
                <c:pt idx="42">
                  <c:v>0.42986111111111092</c:v>
                </c:pt>
                <c:pt idx="43">
                  <c:v>0.43263888888888868</c:v>
                </c:pt>
                <c:pt idx="44">
                  <c:v>0.43263888888888868</c:v>
                </c:pt>
                <c:pt idx="45">
                  <c:v>0.43333333333333313</c:v>
                </c:pt>
                <c:pt idx="46">
                  <c:v>0.43472222222222201</c:v>
                </c:pt>
                <c:pt idx="47">
                  <c:v>0.43472222222222201</c:v>
                </c:pt>
                <c:pt idx="48">
                  <c:v>0.43819444444444422</c:v>
                </c:pt>
                <c:pt idx="49">
                  <c:v>0.44027777777777755</c:v>
                </c:pt>
                <c:pt idx="50">
                  <c:v>0.44166666666666643</c:v>
                </c:pt>
                <c:pt idx="51">
                  <c:v>0.44166666666666643</c:v>
                </c:pt>
                <c:pt idx="52">
                  <c:v>0.44236111111111087</c:v>
                </c:pt>
                <c:pt idx="53">
                  <c:v>0.4444444444444442</c:v>
                </c:pt>
                <c:pt idx="54">
                  <c:v>0.44652777777777752</c:v>
                </c:pt>
                <c:pt idx="55">
                  <c:v>0.44861111111111085</c:v>
                </c:pt>
                <c:pt idx="56">
                  <c:v>0.45069444444444418</c:v>
                </c:pt>
                <c:pt idx="57">
                  <c:v>0.45138888888888862</c:v>
                </c:pt>
                <c:pt idx="58">
                  <c:v>0.45347222222222194</c:v>
                </c:pt>
                <c:pt idx="59">
                  <c:v>0.45347222222222194</c:v>
                </c:pt>
                <c:pt idx="60">
                  <c:v>0.45486111111111083</c:v>
                </c:pt>
                <c:pt idx="61">
                  <c:v>0.45833333333333304</c:v>
                </c:pt>
                <c:pt idx="62">
                  <c:v>0.46041666666666636</c:v>
                </c:pt>
                <c:pt idx="63">
                  <c:v>0.46041666666666636</c:v>
                </c:pt>
                <c:pt idx="64">
                  <c:v>0.46041666666666636</c:v>
                </c:pt>
                <c:pt idx="65">
                  <c:v>0.46041666666666636</c:v>
                </c:pt>
                <c:pt idx="66">
                  <c:v>0.46180555555555525</c:v>
                </c:pt>
                <c:pt idx="67">
                  <c:v>0.46388888888888857</c:v>
                </c:pt>
                <c:pt idx="68">
                  <c:v>0.46388888888888857</c:v>
                </c:pt>
                <c:pt idx="69">
                  <c:v>0.46736111111111078</c:v>
                </c:pt>
                <c:pt idx="70">
                  <c:v>0.47083333333333299</c:v>
                </c:pt>
                <c:pt idx="71">
                  <c:v>0.47083333333333299</c:v>
                </c:pt>
                <c:pt idx="72">
                  <c:v>0.47083333333333299</c:v>
                </c:pt>
                <c:pt idx="73">
                  <c:v>0.47083333333333299</c:v>
                </c:pt>
                <c:pt idx="74">
                  <c:v>0.47222222222222188</c:v>
                </c:pt>
                <c:pt idx="75">
                  <c:v>0.4743055555555552</c:v>
                </c:pt>
                <c:pt idx="76">
                  <c:v>0.47638888888888853</c:v>
                </c:pt>
                <c:pt idx="77">
                  <c:v>0.47847222222222185</c:v>
                </c:pt>
                <c:pt idx="78">
                  <c:v>0.4791666666666663</c:v>
                </c:pt>
                <c:pt idx="79">
                  <c:v>0.47986111111111074</c:v>
                </c:pt>
                <c:pt idx="80">
                  <c:v>0.48194444444444406</c:v>
                </c:pt>
                <c:pt idx="81">
                  <c:v>0.48263888888888851</c:v>
                </c:pt>
                <c:pt idx="82">
                  <c:v>0.48402777777777739</c:v>
                </c:pt>
                <c:pt idx="83">
                  <c:v>0.48541666666666627</c:v>
                </c:pt>
                <c:pt idx="84">
                  <c:v>0.48680555555555516</c:v>
                </c:pt>
                <c:pt idx="85">
                  <c:v>0.4874999999999996</c:v>
                </c:pt>
                <c:pt idx="86">
                  <c:v>0.48958333333333293</c:v>
                </c:pt>
                <c:pt idx="87">
                  <c:v>0.49097222222222181</c:v>
                </c:pt>
                <c:pt idx="88">
                  <c:v>0.49305555555555514</c:v>
                </c:pt>
                <c:pt idx="89">
                  <c:v>0.49374999999999958</c:v>
                </c:pt>
                <c:pt idx="90">
                  <c:v>0.49722222222222179</c:v>
                </c:pt>
                <c:pt idx="91">
                  <c:v>0.49722222222222179</c:v>
                </c:pt>
                <c:pt idx="92">
                  <c:v>0.49791666666666623</c:v>
                </c:pt>
                <c:pt idx="93">
                  <c:v>0.49791666666666623</c:v>
                </c:pt>
                <c:pt idx="94">
                  <c:v>0.49999999999999956</c:v>
                </c:pt>
                <c:pt idx="95">
                  <c:v>0.49999999999999956</c:v>
                </c:pt>
                <c:pt idx="96">
                  <c:v>0.50208333333333288</c:v>
                </c:pt>
                <c:pt idx="97">
                  <c:v>0.50347222222222177</c:v>
                </c:pt>
                <c:pt idx="98">
                  <c:v>0.50486111111111065</c:v>
                </c:pt>
                <c:pt idx="99">
                  <c:v>0.50555555555555509</c:v>
                </c:pt>
              </c:numCache>
            </c:numRef>
          </c:xVal>
          <c:yVal>
            <c:numRef>
              <c:f>модель!$N$20:$N$119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0</c:v>
                </c:pt>
                <c:pt idx="91">
                  <c:v>3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95-469B-9F21-A52FE158682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модель!$Y$20:$Y$119</c:f>
              <c:numCache>
                <c:formatCode>[$-F400]h:mm:ss\ AM/PM</c:formatCode>
                <c:ptCount val="100"/>
                <c:pt idx="0">
                  <c:v>0.3833333333333333</c:v>
                </c:pt>
                <c:pt idx="1">
                  <c:v>0.38055555555555554</c:v>
                </c:pt>
                <c:pt idx="2">
                  <c:v>0.37847222222222221</c:v>
                </c:pt>
                <c:pt idx="3">
                  <c:v>0.38541666666666663</c:v>
                </c:pt>
                <c:pt idx="4">
                  <c:v>0.38124999999999998</c:v>
                </c:pt>
                <c:pt idx="5">
                  <c:v>0.38472222222222219</c:v>
                </c:pt>
                <c:pt idx="6">
                  <c:v>0.38680555555555551</c:v>
                </c:pt>
                <c:pt idx="7">
                  <c:v>0.39166666666666661</c:v>
                </c:pt>
                <c:pt idx="8">
                  <c:v>0.39236111111111105</c:v>
                </c:pt>
                <c:pt idx="9">
                  <c:v>0.38888888888888884</c:v>
                </c:pt>
                <c:pt idx="10">
                  <c:v>0.39583333333333326</c:v>
                </c:pt>
                <c:pt idx="11">
                  <c:v>0.39513888888888882</c:v>
                </c:pt>
                <c:pt idx="12">
                  <c:v>0.39930555555555547</c:v>
                </c:pt>
                <c:pt idx="13">
                  <c:v>0.39444444444444438</c:v>
                </c:pt>
                <c:pt idx="14">
                  <c:v>0.39583333333333326</c:v>
                </c:pt>
                <c:pt idx="15">
                  <c:v>0.40277777777777768</c:v>
                </c:pt>
                <c:pt idx="16">
                  <c:v>0.39930555555555547</c:v>
                </c:pt>
                <c:pt idx="17">
                  <c:v>0.39861111111111103</c:v>
                </c:pt>
                <c:pt idx="18">
                  <c:v>0.40277777777777768</c:v>
                </c:pt>
                <c:pt idx="19">
                  <c:v>0.4013888888888888</c:v>
                </c:pt>
                <c:pt idx="20">
                  <c:v>0.40833333333333321</c:v>
                </c:pt>
                <c:pt idx="21">
                  <c:v>0.4097222222222221</c:v>
                </c:pt>
                <c:pt idx="22">
                  <c:v>0.4097222222222221</c:v>
                </c:pt>
                <c:pt idx="23">
                  <c:v>0.40555555555555545</c:v>
                </c:pt>
                <c:pt idx="24">
                  <c:v>0.40694444444444433</c:v>
                </c:pt>
                <c:pt idx="25">
                  <c:v>0.41041666666666654</c:v>
                </c:pt>
                <c:pt idx="26">
                  <c:v>0.41319444444444431</c:v>
                </c:pt>
                <c:pt idx="27">
                  <c:v>0.41041666666666654</c:v>
                </c:pt>
                <c:pt idx="28">
                  <c:v>0.41388888888888875</c:v>
                </c:pt>
                <c:pt idx="29">
                  <c:v>0.41874999999999984</c:v>
                </c:pt>
                <c:pt idx="30">
                  <c:v>0.41527777777777763</c:v>
                </c:pt>
                <c:pt idx="31">
                  <c:v>0.4180555555555554</c:v>
                </c:pt>
                <c:pt idx="32">
                  <c:v>0.42361111111111094</c:v>
                </c:pt>
                <c:pt idx="33">
                  <c:v>0.42222222222222205</c:v>
                </c:pt>
                <c:pt idx="34">
                  <c:v>0.42222222222222205</c:v>
                </c:pt>
                <c:pt idx="35">
                  <c:v>0.42916666666666647</c:v>
                </c:pt>
                <c:pt idx="36">
                  <c:v>0.42569444444444426</c:v>
                </c:pt>
                <c:pt idx="37">
                  <c:v>0.42777777777777759</c:v>
                </c:pt>
                <c:pt idx="38">
                  <c:v>0.43263888888888868</c:v>
                </c:pt>
                <c:pt idx="39">
                  <c:v>0.42847222222222203</c:v>
                </c:pt>
                <c:pt idx="40">
                  <c:v>0.42916666666666647</c:v>
                </c:pt>
                <c:pt idx="41">
                  <c:v>0.43263888888888868</c:v>
                </c:pt>
                <c:pt idx="42">
                  <c:v>0.43333333333333313</c:v>
                </c:pt>
                <c:pt idx="43">
                  <c:v>0.43472222222222201</c:v>
                </c:pt>
                <c:pt idx="44">
                  <c:v>0.43472222222222201</c:v>
                </c:pt>
                <c:pt idx="45">
                  <c:v>0.44027777777777755</c:v>
                </c:pt>
                <c:pt idx="46">
                  <c:v>0.44166666666666643</c:v>
                </c:pt>
                <c:pt idx="47">
                  <c:v>0.43819444444444422</c:v>
                </c:pt>
                <c:pt idx="48">
                  <c:v>0.44166666666666643</c:v>
                </c:pt>
                <c:pt idx="49">
                  <c:v>0.44236111111111087</c:v>
                </c:pt>
                <c:pt idx="50">
                  <c:v>0.44236111111111087</c:v>
                </c:pt>
                <c:pt idx="51">
                  <c:v>0.44861111111111085</c:v>
                </c:pt>
                <c:pt idx="52">
                  <c:v>0.4444444444444442</c:v>
                </c:pt>
                <c:pt idx="53">
                  <c:v>0.45138888888888862</c:v>
                </c:pt>
                <c:pt idx="54">
                  <c:v>0.45347222222222194</c:v>
                </c:pt>
                <c:pt idx="55">
                  <c:v>0.45069444444444418</c:v>
                </c:pt>
                <c:pt idx="56">
                  <c:v>0.45416666666666639</c:v>
                </c:pt>
                <c:pt idx="57">
                  <c:v>0.45347222222222194</c:v>
                </c:pt>
                <c:pt idx="58">
                  <c:v>0.46041666666666636</c:v>
                </c:pt>
                <c:pt idx="59">
                  <c:v>0.46041666666666636</c:v>
                </c:pt>
                <c:pt idx="60">
                  <c:v>0.45833333333333304</c:v>
                </c:pt>
                <c:pt idx="61">
                  <c:v>0.46180555555555525</c:v>
                </c:pt>
                <c:pt idx="62">
                  <c:v>0.45902777777777748</c:v>
                </c:pt>
                <c:pt idx="63">
                  <c:v>0.45972222222222192</c:v>
                </c:pt>
                <c:pt idx="64">
                  <c:v>0.46736111111111078</c:v>
                </c:pt>
                <c:pt idx="65">
                  <c:v>0.46388888888888857</c:v>
                </c:pt>
                <c:pt idx="66">
                  <c:v>0.46388888888888857</c:v>
                </c:pt>
                <c:pt idx="67">
                  <c:v>0.47083333333333299</c:v>
                </c:pt>
                <c:pt idx="68">
                  <c:v>0.47083333333333299</c:v>
                </c:pt>
                <c:pt idx="69">
                  <c:v>0.47083333333333299</c:v>
                </c:pt>
                <c:pt idx="70">
                  <c:v>0.46805555555555522</c:v>
                </c:pt>
                <c:pt idx="71">
                  <c:v>0.47013888888888855</c:v>
                </c:pt>
                <c:pt idx="72">
                  <c:v>0.4743055555555552</c:v>
                </c:pt>
                <c:pt idx="73">
                  <c:v>0.47291666666666632</c:v>
                </c:pt>
                <c:pt idx="74">
                  <c:v>0.47291666666666632</c:v>
                </c:pt>
                <c:pt idx="75">
                  <c:v>0.48124999999999962</c:v>
                </c:pt>
                <c:pt idx="76">
                  <c:v>0.47847222222222185</c:v>
                </c:pt>
                <c:pt idx="77">
                  <c:v>0.4791666666666663</c:v>
                </c:pt>
                <c:pt idx="78">
                  <c:v>0.48263888888888851</c:v>
                </c:pt>
                <c:pt idx="79">
                  <c:v>0.48680555555555516</c:v>
                </c:pt>
                <c:pt idx="80">
                  <c:v>0.48263888888888851</c:v>
                </c:pt>
                <c:pt idx="81">
                  <c:v>0.48333333333333295</c:v>
                </c:pt>
                <c:pt idx="82">
                  <c:v>0.49097222222222181</c:v>
                </c:pt>
                <c:pt idx="83">
                  <c:v>0.4874999999999996</c:v>
                </c:pt>
                <c:pt idx="84">
                  <c:v>0.49374999999999958</c:v>
                </c:pt>
                <c:pt idx="85">
                  <c:v>0.48958333333333293</c:v>
                </c:pt>
                <c:pt idx="86">
                  <c:v>0.49305555555555514</c:v>
                </c:pt>
                <c:pt idx="87">
                  <c:v>0.49791666666666623</c:v>
                </c:pt>
                <c:pt idx="88">
                  <c:v>0.49999999999999956</c:v>
                </c:pt>
                <c:pt idx="89">
                  <c:v>0.49722222222222179</c:v>
                </c:pt>
                <c:pt idx="90">
                  <c:v>0.49513888888888846</c:v>
                </c:pt>
                <c:pt idx="91">
                  <c:v>0.49791666666666623</c:v>
                </c:pt>
                <c:pt idx="92">
                  <c:v>0.50486111111111065</c:v>
                </c:pt>
                <c:pt idx="93">
                  <c:v>0.49999999999999956</c:v>
                </c:pt>
                <c:pt idx="94">
                  <c:v>0.50347222222222177</c:v>
                </c:pt>
                <c:pt idx="95">
                  <c:v>0.50208333333333288</c:v>
                </c:pt>
                <c:pt idx="96">
                  <c:v>0.5090277777777773</c:v>
                </c:pt>
                <c:pt idx="97">
                  <c:v>0.50555555555555509</c:v>
                </c:pt>
                <c:pt idx="98">
                  <c:v>0.51180555555555507</c:v>
                </c:pt>
                <c:pt idx="99">
                  <c:v>0.51249999999999951</c:v>
                </c:pt>
              </c:numCache>
            </c:numRef>
          </c:xVal>
          <c:yVal>
            <c:numRef>
              <c:f>модель!$N$20:$N$119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0</c:v>
                </c:pt>
                <c:pt idx="91">
                  <c:v>3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95-469B-9F21-A52FE1586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844592"/>
        <c:axId val="1729995216"/>
      </c:scatterChart>
      <c:valAx>
        <c:axId val="250844592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995216"/>
        <c:crosses val="autoZero"/>
        <c:crossBetween val="midCat"/>
      </c:valAx>
      <c:valAx>
        <c:axId val="17299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среднее время пребывания в системе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5.8464566929133856E-2"/>
                  <c:y val="-0.513956692913385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эксперимент!$C$51:$C$57</c:f>
              <c:numCache>
                <c:formatCode>[$-F400]h:mm:ss\ AM/PM</c:formatCode>
                <c:ptCount val="7"/>
                <c:pt idx="0">
                  <c:v>7.4246031746031619E-3</c:v>
                </c:pt>
                <c:pt idx="1">
                  <c:v>7.7103174603174469E-3</c:v>
                </c:pt>
                <c:pt idx="2">
                  <c:v>7.9960317460317318E-3</c:v>
                </c:pt>
                <c:pt idx="3">
                  <c:v>8.2817460317460168E-3</c:v>
                </c:pt>
                <c:pt idx="4">
                  <c:v>8.5674603174603018E-3</c:v>
                </c:pt>
                <c:pt idx="5">
                  <c:v>8.8531746031745868E-3</c:v>
                </c:pt>
                <c:pt idx="6">
                  <c:v>9.1388888888888718E-3</c:v>
                </c:pt>
              </c:numCache>
            </c:numRef>
          </c:cat>
          <c:val>
            <c:numRef>
              <c:f>эксперимент!$D$51:$D$57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9-4421-926D-332897FB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3275904"/>
        <c:axId val="436453520"/>
      </c:barChart>
      <c:catAx>
        <c:axId val="433275904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453520"/>
        <c:crosses val="autoZero"/>
        <c:auto val="1"/>
        <c:lblAlgn val="ctr"/>
        <c:lblOffset val="100"/>
        <c:noMultiLvlLbl val="0"/>
      </c:catAx>
      <c:valAx>
        <c:axId val="4364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32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b="0"/>
              <a:t>количество</a:t>
            </a:r>
            <a:r>
              <a:rPr lang="ru-RU" b="0" baseline="0"/>
              <a:t> потерь</a:t>
            </a:r>
            <a:endParaRPr lang="ru-RU" b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эксперимент!$C$68:$C$72</c:f>
              <c:strCache>
                <c:ptCount val="5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&gt;16</c:v>
                </c:pt>
              </c:strCache>
            </c:strRef>
          </c:cat>
          <c:val>
            <c:numRef>
              <c:f>эксперимент!$D$68:$D$72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6-40B1-B5FB-A82770625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739168"/>
        <c:axId val="216519600"/>
      </c:barChart>
      <c:catAx>
        <c:axId val="53773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6519600"/>
        <c:crosses val="autoZero"/>
        <c:auto val="1"/>
        <c:lblAlgn val="ctr"/>
        <c:lblOffset val="100"/>
        <c:noMultiLvlLbl val="0"/>
      </c:catAx>
      <c:valAx>
        <c:axId val="216519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37739168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</a:t>
            </a:r>
            <a:r>
              <a:rPr lang="ru-RU" baseline="0"/>
              <a:t> полезной загрузки серверов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эксперимент!$T$48</c:f>
              <c:strCache>
                <c:ptCount val="1"/>
                <c:pt idx="0">
                  <c:v>Максимум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FF0000"/>
              </a:solidFill>
              <a:ln w="12700">
                <a:solidFill>
                  <a:schemeClr val="accent1"/>
                </a:solidFill>
                <a:headEnd type="diamond" w="lg" len="lg"/>
                <a:tailEnd type="diamond" w="lg" len="lg"/>
              </a:ln>
              <a:effectLst/>
            </c:spPr>
          </c:marker>
          <c:cat>
            <c:numRef>
              <c:f>эксперимент!$U$47:$W$47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эксперимент!$U$48:$W$48</c:f>
              <c:numCache>
                <c:formatCode>0.000</c:formatCode>
                <c:ptCount val="3"/>
                <c:pt idx="0">
                  <c:v>0.41666666666666669</c:v>
                </c:pt>
                <c:pt idx="1">
                  <c:v>0.39175257731958762</c:v>
                </c:pt>
                <c:pt idx="2">
                  <c:v>0.36363636363636365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7-47ED-B603-A374882A7CB2}"/>
            </c:ext>
          </c:extLst>
        </c:ser>
        <c:ser>
          <c:idx val="1"/>
          <c:order val="1"/>
          <c:tx>
            <c:strRef>
              <c:f>эксперимент!$T$49</c:f>
              <c:strCache>
                <c:ptCount val="1"/>
                <c:pt idx="0">
                  <c:v>Минимум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FF0000"/>
              </a:solidFill>
              <a:ln w="12700">
                <a:solidFill>
                  <a:srgbClr val="FF0000"/>
                </a:solidFill>
                <a:round/>
                <a:headEnd type="triangle" w="lg" len="lg"/>
                <a:tailEnd type="triangle" w="lg" len="lg"/>
              </a:ln>
              <a:effectLst/>
            </c:spPr>
          </c:marker>
          <c:cat>
            <c:numRef>
              <c:f>эксперимент!$U$47:$W$47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эксперимент!$U$49:$W$49</c:f>
              <c:numCache>
                <c:formatCode>0.000</c:formatCode>
                <c:ptCount val="3"/>
                <c:pt idx="0">
                  <c:v>0.2967032967032967</c:v>
                </c:pt>
                <c:pt idx="1">
                  <c:v>0.27272727272727271</c:v>
                </c:pt>
                <c:pt idx="2">
                  <c:v>0.23958333333333334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7-47ED-B603-A374882A7CB2}"/>
            </c:ext>
          </c:extLst>
        </c:ser>
        <c:ser>
          <c:idx val="2"/>
          <c:order val="2"/>
          <c:tx>
            <c:strRef>
              <c:f>эксперимент!$T$50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эксперимент!$U$47:$W$47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эксперимент!$U$50:$W$50</c:f>
              <c:numCache>
                <c:formatCode>0.000</c:formatCode>
                <c:ptCount val="3"/>
                <c:pt idx="0">
                  <c:v>0.35812395484943826</c:v>
                </c:pt>
                <c:pt idx="1">
                  <c:v>0.34253150500562329</c:v>
                </c:pt>
                <c:pt idx="2">
                  <c:v>0.29934454014493844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7-47ED-B603-A374882A7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  <a:headEnd type="none" w="lg" len="lg"/>
              <a:tailEnd type="none" w="lg" len="lg"/>
            </a:ln>
            <a:effectLst/>
          </c:spPr>
        </c:hiLowLines>
        <c:axId val="392217840"/>
        <c:axId val="403204016"/>
      </c:stockChart>
      <c:catAx>
        <c:axId val="3922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204016"/>
        <c:crosses val="autoZero"/>
        <c:auto val="1"/>
        <c:lblAlgn val="ctr"/>
        <c:lblOffset val="100"/>
        <c:noMultiLvlLbl val="0"/>
      </c:catAx>
      <c:valAx>
        <c:axId val="4032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21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полезной</a:t>
            </a:r>
            <a:r>
              <a:rPr lang="ru-RU" baseline="0"/>
              <a:t> нагрузки серверов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эксперимент!$T$100</c:f>
              <c:strCache>
                <c:ptCount val="1"/>
                <c:pt idx="0">
                  <c:v>Максимум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FF0000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эксперимент!$U$99:$W$99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эксперимент!$U$100:$W$100</c:f>
              <c:numCache>
                <c:formatCode>0.000</c:formatCode>
                <c:ptCount val="3"/>
                <c:pt idx="0">
                  <c:v>0.4329896907216495</c:v>
                </c:pt>
                <c:pt idx="1">
                  <c:v>0.39560439560439559</c:v>
                </c:pt>
                <c:pt idx="2">
                  <c:v>0.39130434782608697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3-4F8B-8B69-7A16B2C3F5A0}"/>
            </c:ext>
          </c:extLst>
        </c:ser>
        <c:ser>
          <c:idx val="1"/>
          <c:order val="1"/>
          <c:tx>
            <c:strRef>
              <c:f>эксперимент!$T$101</c:f>
              <c:strCache>
                <c:ptCount val="1"/>
                <c:pt idx="0">
                  <c:v>Минимум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эксперимент!$U$99:$W$99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эксперимент!$U$101:$W$101</c:f>
              <c:numCache>
                <c:formatCode>0.000</c:formatCode>
                <c:ptCount val="3"/>
                <c:pt idx="0">
                  <c:v>0.31521739130434784</c:v>
                </c:pt>
                <c:pt idx="1">
                  <c:v>0.29347826086956524</c:v>
                </c:pt>
                <c:pt idx="2">
                  <c:v>0.22680412371134021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3-4F8B-8B69-7A16B2C3F5A0}"/>
            </c:ext>
          </c:extLst>
        </c:ser>
        <c:ser>
          <c:idx val="2"/>
          <c:order val="2"/>
          <c:tx>
            <c:strRef>
              <c:f>эксперимент!$T$102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C000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эксперимент!$U$99:$W$99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эксперимент!$U$102:$W$102</c:f>
              <c:numCache>
                <c:formatCode>0.000</c:formatCode>
                <c:ptCount val="3"/>
                <c:pt idx="0">
                  <c:v>0.36970620869530624</c:v>
                </c:pt>
                <c:pt idx="1">
                  <c:v>0.35116639290516533</c:v>
                </c:pt>
                <c:pt idx="2">
                  <c:v>0.27912739839952827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3-4F8B-8B69-7A16B2C3F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868151296"/>
        <c:axId val="427615616"/>
      </c:stockChart>
      <c:catAx>
        <c:axId val="8681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615616"/>
        <c:crosses val="autoZero"/>
        <c:auto val="1"/>
        <c:lblAlgn val="ctr"/>
        <c:lblOffset val="100"/>
        <c:noMultiLvlLbl val="0"/>
      </c:catAx>
      <c:valAx>
        <c:axId val="4276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1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Время обслуживания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Время обслуживания</a:t>
          </a:r>
        </a:p>
      </cx:txPr>
    </cx:title>
    <cx:plotArea>
      <cx:plotAreaRegion>
        <cx:series layoutId="clusteredColumn" uniqueId="{D329DE79-4927-4417-8FF3-092F10AC3ED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570206</xdr:colOff>
      <xdr:row>30</xdr:row>
      <xdr:rowOff>142552</xdr:rowOff>
    </xdr:from>
    <xdr:to>
      <xdr:col>34</xdr:col>
      <xdr:colOff>271156</xdr:colOff>
      <xdr:row>45</xdr:row>
      <xdr:rowOff>142551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A1B1F4-A0B5-444E-B620-85B6ACE02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75934</xdr:colOff>
      <xdr:row>47</xdr:row>
      <xdr:rowOff>168331</xdr:rowOff>
    </xdr:from>
    <xdr:to>
      <xdr:col>34</xdr:col>
      <xdr:colOff>384276</xdr:colOff>
      <xdr:row>62</xdr:row>
      <xdr:rowOff>168330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B6B61B7-4E2B-43EA-BDDC-E8B398E9D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130546</xdr:colOff>
      <xdr:row>13</xdr:row>
      <xdr:rowOff>30982</xdr:rowOff>
    </xdr:from>
    <xdr:to>
      <xdr:col>34</xdr:col>
      <xdr:colOff>435346</xdr:colOff>
      <xdr:row>28</xdr:row>
      <xdr:rowOff>30983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ED2996C1-4CA0-4389-9488-340E27FD6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9746" y="2446522"/>
              <a:ext cx="4572000" cy="2750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754380</xdr:colOff>
      <xdr:row>49</xdr:row>
      <xdr:rowOff>64770</xdr:rowOff>
    </xdr:from>
    <xdr:to>
      <xdr:col>11</xdr:col>
      <xdr:colOff>297180</xdr:colOff>
      <xdr:row>64</xdr:row>
      <xdr:rowOff>64770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C5AA8F9-E6CE-45A3-94BB-F4FB53527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735164</xdr:colOff>
      <xdr:row>65</xdr:row>
      <xdr:rowOff>22858</xdr:rowOff>
    </xdr:from>
    <xdr:to>
      <xdr:col>10</xdr:col>
      <xdr:colOff>569512</xdr:colOff>
      <xdr:row>77</xdr:row>
      <xdr:rowOff>76199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E530935-404B-4FB0-8F54-95D28D852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381000</xdr:colOff>
      <xdr:row>53</xdr:row>
      <xdr:rowOff>5556</xdr:rowOff>
    </xdr:from>
    <xdr:to>
      <xdr:col>22</xdr:col>
      <xdr:colOff>595312</xdr:colOff>
      <xdr:row>68</xdr:row>
      <xdr:rowOff>2381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1F57B3F-1005-47E7-8334-00B8C4D0A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351670</xdr:colOff>
      <xdr:row>105</xdr:row>
      <xdr:rowOff>130551</xdr:rowOff>
    </xdr:from>
    <xdr:to>
      <xdr:col>22</xdr:col>
      <xdr:colOff>549803</xdr:colOff>
      <xdr:row>120</xdr:row>
      <xdr:rowOff>152878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BB0743A-6EC3-40D0-A771-3271062F9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CD9AD-2C81-4B19-A301-07A06A0DE80E}" name="Таблица1" displayName="Таблица1" ref="A27:I48" totalsRowCount="1" headerRowDxfId="22" headerRowBorderDxfId="21">
  <autoFilter ref="A27:I47" xr:uid="{96ED8D4B-23E2-4381-9EFA-030234671D9A}"/>
  <tableColumns count="9">
    <tableColumn id="1" xr3:uid="{BBA56C8E-6094-4CFB-93A9-FDE4DEA466BF}" name="№       эксперимента" totalsRowLabel="Итог"/>
    <tableColumn id="2" xr3:uid="{99E2AEC7-C51E-4355-AD56-C266A3BF5DD2}" name="среднее время пребывания в системе" totalsRowFunction="average" dataDxfId="20" totalsRowDxfId="5"/>
    <tableColumn id="3" xr3:uid="{F2646583-D496-41E3-9735-BC6B1035F7F9}" name="среднее время обслуживания" totalsRowFunction="average" dataDxfId="19" totalsRowDxfId="4"/>
    <tableColumn id="4" xr3:uid="{1D47075C-0E6A-44E4-B3C1-ED1E2C620595}" name="количество потерянных заявок на обслуживание" totalsRowFunction="max"/>
    <tableColumn id="5" xr3:uid="{E7DDDB5F-B7B2-4666-BBB2-F8FD6A0CC1A9}" name="коэффициент полезной загрузки сервера 1" totalsRowFunction="average" dataDxfId="18" totalsRowDxfId="3"/>
    <tableColumn id="6" xr3:uid="{3D147079-2C3B-4D28-86C2-B0F5F6B841C1}" name="коэффициент полезной загрузки сервера 2" totalsRowFunction="average" dataDxfId="17" totalsRowDxfId="2"/>
    <tableColumn id="7" xr3:uid="{2584D66C-266D-4839-9A33-EAA77513483D}" name="коэффициент полезной загрузки сервера 3" totalsRowFunction="average" dataDxfId="16" totalsRowDxfId="1"/>
    <tableColumn id="8" xr3:uid="{27B65371-75E0-4B7A-BE1F-255521C57AC8}" name="макс. размер очереди" totalsRowFunction="max"/>
    <tableColumn id="9" xr3:uid="{ACE913FC-1832-4044-A2E1-FB0D93AF709D}" name="длительность обслуживания клиентов" totalsRowFunction="max" dataDxfId="15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EF0787-130C-430F-955F-77A0EDDA3A69}" name="Таблица8" displayName="Таблица8" ref="A80:I101" totalsRowCount="1" headerRowDxfId="12" headerRowBorderDxfId="13" tableBorderDxfId="14">
  <autoFilter ref="A80:I100" xr:uid="{035C347C-192C-48FD-8AE1-F60B6D68E095}"/>
  <tableColumns count="9">
    <tableColumn id="1" xr3:uid="{A7A1A2F1-9D4F-4FF6-9F5C-0D840007A12F}" name="№       экспе-римента" totalsRowLabel="Итог"/>
    <tableColumn id="2" xr3:uid="{532BCFC5-CED4-4190-BD3F-D3AAE67437CA}" name="среднее время пребывания в системе" totalsRowFunction="average" dataDxfId="11"/>
    <tableColumn id="3" xr3:uid="{2407C35C-0B34-4E2E-8C39-300349139F06}" name="среднее время обслуживания" totalsRowFunction="average" dataDxfId="10"/>
    <tableColumn id="4" xr3:uid="{0F0241FD-5DA7-4D99-BA86-DCDB6CA37D6C}" name="количество потерянных заявок на обслуживание" totalsRowFunction="max"/>
    <tableColumn id="5" xr3:uid="{80CEC1DF-EEBE-4326-B0AE-9E87BFB10FF9}" name="коэффициент полезной загрузки сервера 1" totalsRowFunction="average" dataDxfId="9"/>
    <tableColumn id="6" xr3:uid="{6EA014C9-89D5-4693-8AF6-791EBF476157}" name="коэффициент полезной загрузки сервера 2" totalsRowFunction="average" dataDxfId="8"/>
    <tableColumn id="7" xr3:uid="{F6E4A8FD-6EEB-4056-85DF-9A6FA2CCC447}" name="коэффициент полезной загрузки сервера 3" totalsRowFunction="average" dataDxfId="7"/>
    <tableColumn id="8" xr3:uid="{2F4C7AA2-547D-4292-B23B-4ECBFEB73AB8}" name="макс. размер очереди" totalsRowFunction="max"/>
    <tableColumn id="9" xr3:uid="{4640F642-D3DA-454A-BBA0-F9EC0F899C94}" name="длительность обслуживания клиентов" totalsRowFunction="max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"/>
  <sheetViews>
    <sheetView zoomScale="68" workbookViewId="0">
      <selection activeCell="E4" sqref="E4"/>
    </sheetView>
  </sheetViews>
  <sheetFormatPr defaultRowHeight="14.4" x14ac:dyDescent="0.3"/>
  <sheetData>
    <row r="1" spans="1:26" x14ac:dyDescent="0.3">
      <c r="B1" t="s">
        <v>0</v>
      </c>
    </row>
    <row r="2" spans="1:26" ht="15" thickBot="1" x14ac:dyDescent="0.35">
      <c r="A2" s="2" t="s">
        <v>1</v>
      </c>
      <c r="B2" s="3"/>
      <c r="C2" s="3" t="s">
        <v>2</v>
      </c>
      <c r="D2" s="3"/>
      <c r="E2" s="3" t="s">
        <v>3</v>
      </c>
      <c r="F2" s="4"/>
      <c r="G2" s="5"/>
    </row>
    <row r="3" spans="1:26" ht="15" thickBot="1" x14ac:dyDescent="0.35">
      <c r="A3" s="9">
        <v>0.375</v>
      </c>
      <c r="B3" s="6"/>
      <c r="C3" s="9">
        <v>0.75</v>
      </c>
      <c r="D3" s="6"/>
      <c r="E3" s="10">
        <v>4</v>
      </c>
      <c r="F3" s="7" t="s">
        <v>4</v>
      </c>
      <c r="G3" s="8"/>
    </row>
    <row r="5" spans="1:26" ht="15" thickBot="1" x14ac:dyDescent="0.35"/>
    <row r="6" spans="1:26" ht="14.4" customHeight="1" x14ac:dyDescent="0.3">
      <c r="A6" s="65" t="s">
        <v>5</v>
      </c>
      <c r="B6" s="13" t="s">
        <v>6</v>
      </c>
      <c r="C6" s="13" t="s">
        <v>10</v>
      </c>
      <c r="D6" s="14" t="s">
        <v>7</v>
      </c>
    </row>
    <row r="7" spans="1:26" x14ac:dyDescent="0.3">
      <c r="A7" s="66"/>
      <c r="B7" s="11" t="s">
        <v>11</v>
      </c>
      <c r="C7" s="11" t="s">
        <v>11</v>
      </c>
      <c r="D7" s="12" t="s">
        <v>8</v>
      </c>
    </row>
    <row r="8" spans="1:26" ht="15" thickBot="1" x14ac:dyDescent="0.35">
      <c r="A8" s="66"/>
      <c r="B8" s="11"/>
      <c r="C8" s="11"/>
      <c r="D8" s="12" t="s">
        <v>9</v>
      </c>
    </row>
    <row r="9" spans="1:26" x14ac:dyDescent="0.3">
      <c r="A9" s="15">
        <v>0.15</v>
      </c>
      <c r="B9" s="16">
        <v>0</v>
      </c>
      <c r="C9" s="16">
        <v>0.15</v>
      </c>
      <c r="D9" s="17">
        <v>1</v>
      </c>
    </row>
    <row r="10" spans="1:26" x14ac:dyDescent="0.3">
      <c r="A10" s="18">
        <v>0.25</v>
      </c>
      <c r="B10" s="19">
        <v>0.15</v>
      </c>
      <c r="C10" s="19">
        <v>0.4</v>
      </c>
      <c r="D10" s="20">
        <v>3</v>
      </c>
    </row>
    <row r="11" spans="1:26" x14ac:dyDescent="0.3">
      <c r="A11" s="18">
        <v>0.25</v>
      </c>
      <c r="B11" s="19">
        <v>0.4</v>
      </c>
      <c r="C11" s="19">
        <v>0.65</v>
      </c>
      <c r="D11" s="20">
        <v>5</v>
      </c>
    </row>
    <row r="12" spans="1:26" ht="15" thickBot="1" x14ac:dyDescent="0.35">
      <c r="A12" s="21">
        <v>0.35</v>
      </c>
      <c r="B12" s="22">
        <v>0.65</v>
      </c>
      <c r="C12" s="22">
        <v>1</v>
      </c>
      <c r="D12" s="23">
        <v>10</v>
      </c>
    </row>
    <row r="14" spans="1:26" x14ac:dyDescent="0.3">
      <c r="A14" s="24"/>
      <c r="B14" s="25" t="s">
        <v>12</v>
      </c>
      <c r="C14" s="26"/>
      <c r="D14" s="27" t="s">
        <v>13</v>
      </c>
      <c r="E14" s="26"/>
      <c r="F14" s="26" t="s">
        <v>14</v>
      </c>
      <c r="G14" s="28" t="s">
        <v>15</v>
      </c>
      <c r="H14" s="28"/>
      <c r="I14" s="29" t="s">
        <v>7</v>
      </c>
      <c r="J14" s="28" t="s">
        <v>16</v>
      </c>
      <c r="K14" s="28" t="s">
        <v>17</v>
      </c>
      <c r="L14" s="28" t="s">
        <v>18</v>
      </c>
      <c r="M14" s="29" t="s">
        <v>19</v>
      </c>
      <c r="N14" s="28"/>
      <c r="O14" s="4"/>
      <c r="P14" s="4"/>
      <c r="Q14" s="4"/>
      <c r="R14" s="4"/>
      <c r="S14" s="4"/>
      <c r="T14" s="4"/>
      <c r="U14" s="4" t="s">
        <v>20</v>
      </c>
      <c r="V14" s="4" t="s">
        <v>21</v>
      </c>
      <c r="W14" s="4"/>
      <c r="X14" s="28" t="s">
        <v>7</v>
      </c>
      <c r="Y14" s="28" t="s">
        <v>22</v>
      </c>
      <c r="Z14" s="28" t="s">
        <v>23</v>
      </c>
    </row>
    <row r="15" spans="1:26" x14ac:dyDescent="0.3">
      <c r="A15" s="30" t="s">
        <v>24</v>
      </c>
      <c r="B15" s="31" t="s">
        <v>25</v>
      </c>
      <c r="C15" s="32" t="s">
        <v>26</v>
      </c>
      <c r="D15" s="33" t="s">
        <v>27</v>
      </c>
      <c r="E15" s="32" t="s">
        <v>26</v>
      </c>
      <c r="F15" s="32" t="s">
        <v>28</v>
      </c>
      <c r="G15" s="32" t="s">
        <v>28</v>
      </c>
      <c r="H15" s="32" t="s">
        <v>29</v>
      </c>
      <c r="I15" s="34" t="s">
        <v>30</v>
      </c>
      <c r="J15" s="32" t="s">
        <v>31</v>
      </c>
      <c r="K15" s="32" t="s">
        <v>31</v>
      </c>
      <c r="L15" s="32" t="s">
        <v>31</v>
      </c>
      <c r="M15" s="34" t="s">
        <v>7</v>
      </c>
      <c r="N15" s="32" t="s">
        <v>32</v>
      </c>
      <c r="O15" s="35" t="s">
        <v>33</v>
      </c>
      <c r="P15" s="35"/>
      <c r="Q15" s="35" t="s">
        <v>34</v>
      </c>
      <c r="R15" s="35"/>
      <c r="S15" s="35" t="s">
        <v>35</v>
      </c>
      <c r="T15" s="35"/>
      <c r="U15" s="35" t="s">
        <v>36</v>
      </c>
      <c r="V15" s="35" t="s">
        <v>36</v>
      </c>
      <c r="W15" s="32" t="s">
        <v>37</v>
      </c>
      <c r="X15" s="32" t="s">
        <v>38</v>
      </c>
      <c r="Y15" s="32" t="s">
        <v>7</v>
      </c>
      <c r="Z15" s="32" t="s">
        <v>39</v>
      </c>
    </row>
    <row r="16" spans="1:26" x14ac:dyDescent="0.3">
      <c r="A16" s="30" t="s">
        <v>40</v>
      </c>
      <c r="B16" s="31" t="s">
        <v>41</v>
      </c>
      <c r="C16" s="32" t="s">
        <v>42</v>
      </c>
      <c r="D16" s="33" t="s">
        <v>43</v>
      </c>
      <c r="E16" s="32" t="s">
        <v>38</v>
      </c>
      <c r="F16" s="32" t="s">
        <v>25</v>
      </c>
      <c r="G16" s="32" t="s">
        <v>44</v>
      </c>
      <c r="H16" s="32" t="s">
        <v>45</v>
      </c>
      <c r="I16" s="34" t="s">
        <v>39</v>
      </c>
      <c r="J16" s="32" t="s">
        <v>27</v>
      </c>
      <c r="K16" s="32" t="s">
        <v>27</v>
      </c>
      <c r="L16" s="32" t="s">
        <v>27</v>
      </c>
      <c r="M16" s="34" t="s">
        <v>46</v>
      </c>
      <c r="N16" s="32" t="s">
        <v>47</v>
      </c>
      <c r="O16" s="34" t="s">
        <v>48</v>
      </c>
      <c r="P16" s="34" t="s">
        <v>49</v>
      </c>
      <c r="Q16" s="34" t="s">
        <v>48</v>
      </c>
      <c r="R16" s="34" t="s">
        <v>49</v>
      </c>
      <c r="S16" s="34" t="s">
        <v>48</v>
      </c>
      <c r="T16" s="34" t="s">
        <v>49</v>
      </c>
      <c r="U16" s="34" t="s">
        <v>39</v>
      </c>
      <c r="V16" s="34" t="s">
        <v>39</v>
      </c>
      <c r="W16" s="32" t="s">
        <v>50</v>
      </c>
      <c r="X16" s="32" t="s">
        <v>51</v>
      </c>
      <c r="Y16" s="32" t="s">
        <v>52</v>
      </c>
      <c r="Z16" s="36" t="s">
        <v>53</v>
      </c>
    </row>
    <row r="17" spans="1:26" ht="15" thickBot="1" x14ac:dyDescent="0.35">
      <c r="A17" s="37"/>
      <c r="B17" s="38" t="s">
        <v>54</v>
      </c>
      <c r="C17" s="39" t="s">
        <v>55</v>
      </c>
      <c r="D17" s="38" t="s">
        <v>54</v>
      </c>
      <c r="E17" s="39" t="s">
        <v>51</v>
      </c>
      <c r="F17" s="39" t="s">
        <v>56</v>
      </c>
      <c r="G17" s="39" t="s">
        <v>56</v>
      </c>
      <c r="H17" s="39" t="s">
        <v>57</v>
      </c>
      <c r="I17" s="39" t="s">
        <v>56</v>
      </c>
      <c r="J17" s="39" t="s">
        <v>56</v>
      </c>
      <c r="K17" s="39" t="s">
        <v>56</v>
      </c>
      <c r="L17" s="39" t="s">
        <v>56</v>
      </c>
      <c r="M17" s="39" t="s">
        <v>56</v>
      </c>
      <c r="N17" s="39"/>
      <c r="O17" s="39" t="s">
        <v>56</v>
      </c>
      <c r="P17" s="39" t="s">
        <v>56</v>
      </c>
      <c r="Q17" s="39" t="s">
        <v>56</v>
      </c>
      <c r="R17" s="39" t="s">
        <v>56</v>
      </c>
      <c r="S17" s="39" t="s">
        <v>56</v>
      </c>
      <c r="T17" s="39" t="s">
        <v>56</v>
      </c>
      <c r="U17" s="39" t="s">
        <v>56</v>
      </c>
      <c r="V17" s="39" t="s">
        <v>56</v>
      </c>
      <c r="W17" s="39" t="s">
        <v>56</v>
      </c>
      <c r="X17" s="39" t="s">
        <v>58</v>
      </c>
      <c r="Y17" s="37"/>
      <c r="Z17" s="37"/>
    </row>
    <row r="19" spans="1:26" x14ac:dyDescent="0.3">
      <c r="F19" s="40">
        <f>start</f>
        <v>0.375</v>
      </c>
      <c r="P19" s="40">
        <f>start</f>
        <v>0.375</v>
      </c>
      <c r="Q19" s="40"/>
      <c r="R19" s="40">
        <f>start</f>
        <v>0.375</v>
      </c>
      <c r="S19" s="40"/>
      <c r="T19" s="40">
        <f>start</f>
        <v>0.375</v>
      </c>
    </row>
    <row r="20" spans="1:26" x14ac:dyDescent="0.3">
      <c r="A20">
        <v>1</v>
      </c>
      <c r="B20">
        <f ca="1">RANDBETWEEN(1,3)</f>
        <v>2</v>
      </c>
      <c r="C20" s="40">
        <f ca="1">B20/(60*24)</f>
        <v>1.3888888888888889E-3</v>
      </c>
      <c r="D20">
        <f t="shared" ref="D20:D51" ca="1" si="0">VLOOKUP(RAND(),SRVT,3)</f>
        <v>10</v>
      </c>
      <c r="E20" s="40">
        <f ca="1">D20/1440</f>
        <v>6.9444444444444441E-3</v>
      </c>
      <c r="F20" s="40">
        <f t="shared" ref="F20:F51" ca="1" si="1">IF(ISTEXT(F19),"",IF(F19+C20&gt;=closed,"закрыто",F19+C20))</f>
        <v>0.37638888888888888</v>
      </c>
      <c r="G20" s="40">
        <f ca="1">IF(ISTEXT(F20),"",M20-F20)</f>
        <v>0</v>
      </c>
      <c r="H20" t="str">
        <f t="shared" ref="H20:H51" ca="1" si="2">IF(G20&gt;(renegat/1440),"ушёл","")</f>
        <v/>
      </c>
      <c r="I20" s="40" t="str">
        <f t="shared" ref="I20:I51" ca="1" si="3">IF(H20="ушёл",F20+(renegat/1440),"")</f>
        <v/>
      </c>
      <c r="J20" s="40">
        <f ca="1">MAX(P19,$F20)</f>
        <v>0.37638888888888888</v>
      </c>
      <c r="K20" s="40">
        <f ca="1">MAX(R19,$F20)</f>
        <v>0.37638888888888888</v>
      </c>
      <c r="L20" s="40">
        <f ca="1">MAX(T19,$F20)</f>
        <v>0.37638888888888888</v>
      </c>
      <c r="M20" s="40">
        <f ca="1">IF(ISTEXT(F20),"",MIN(J20:L20))</f>
        <v>0.37638888888888888</v>
      </c>
      <c r="N20">
        <f ca="1">IF(OR(ISTEXT(F20),H20="ушёл"),"",MATCH(M20,J20:L20,0))</f>
        <v>1</v>
      </c>
      <c r="O20" s="40">
        <f ca="1">IF($N20=1,M20,"")</f>
        <v>0.37638888888888888</v>
      </c>
      <c r="P20" s="40">
        <f ca="1">IF($N20=1,O20+$E20,P19)</f>
        <v>0.3833333333333333</v>
      </c>
      <c r="Q20" s="40" t="str">
        <f ca="1">IF($N20=2,M20,"")</f>
        <v/>
      </c>
      <c r="R20" s="40">
        <f ca="1">IF($N20=2,Q20+$E20,R19)</f>
        <v>0.375</v>
      </c>
      <c r="S20" s="40" t="str">
        <f ca="1">IF($N20=3,M20,"")</f>
        <v/>
      </c>
      <c r="T20" s="40">
        <f ca="1">IF($N20=3,S20+$E20,T19)</f>
        <v>0.375</v>
      </c>
      <c r="U20" s="40" t="str">
        <f ca="1">IF(H20="ушёл",I20-F20,"")</f>
        <v/>
      </c>
      <c r="V20" s="40">
        <f ca="1">IF(I20="ушёл","",F20+G20)</f>
        <v>0.37638888888888888</v>
      </c>
      <c r="W20" s="40">
        <f ca="1">Y20-F20</f>
        <v>6.9444444444444198E-3</v>
      </c>
      <c r="X20" s="40">
        <f ca="1">IF(H20="ушёл",W20,$E20+G20)</f>
        <v>6.9444444444444441E-3</v>
      </c>
      <c r="Y20" s="40">
        <f ca="1">IF(H20="ушёл",I20,CHOOSE(N20,P20,R20,T20))</f>
        <v>0.3833333333333333</v>
      </c>
      <c r="Z20">
        <v>0</v>
      </c>
    </row>
    <row r="21" spans="1:26" x14ac:dyDescent="0.3">
      <c r="A21">
        <f ca="1">IF(ISTEXT(F21),"закрыто",A20+1)</f>
        <v>2</v>
      </c>
      <c r="B21">
        <f ca="1">RANDBETWEEN(1,3)</f>
        <v>1</v>
      </c>
      <c r="C21" s="40">
        <f ca="1">B21/(60*24)</f>
        <v>6.9444444444444447E-4</v>
      </c>
      <c r="D21">
        <f t="shared" ca="1" si="0"/>
        <v>5</v>
      </c>
      <c r="E21" s="40">
        <f ca="1">D21/1440</f>
        <v>3.472222222222222E-3</v>
      </c>
      <c r="F21" s="40">
        <f t="shared" ca="1" si="1"/>
        <v>0.37708333333333333</v>
      </c>
      <c r="G21" s="40">
        <f ca="1">IF(ISTEXT(F21),"",M21-F21)</f>
        <v>0</v>
      </c>
      <c r="H21" t="str">
        <f t="shared" ca="1" si="2"/>
        <v/>
      </c>
      <c r="I21" s="40" t="str">
        <f t="shared" ca="1" si="3"/>
        <v/>
      </c>
      <c r="J21" s="40">
        <f ca="1">IF(ISTEXT($F21),"",MAX($P$19:P20,$F21))</f>
        <v>0.3833333333333333</v>
      </c>
      <c r="K21" s="40">
        <f ca="1">IF(ISTEXT($F21),"",MAX($R$19:R20,$F21))</f>
        <v>0.37708333333333333</v>
      </c>
      <c r="L21" s="40">
        <f ca="1">IF(ISTEXT($F21),"",MAX(T19:T20,$F21))</f>
        <v>0.37708333333333333</v>
      </c>
      <c r="M21" s="40">
        <f ca="1">IF(ISTEXT(F21),"",MIN(J21:L21))</f>
        <v>0.37708333333333333</v>
      </c>
      <c r="N21">
        <f ca="1">IF(OR(ISTEXT(F21),H21="ушёл"),"",MATCH(M21,J21:L21,0))</f>
        <v>2</v>
      </c>
      <c r="O21" s="40" t="str">
        <f ca="1">IF($N21=1,M21,"")</f>
        <v/>
      </c>
      <c r="P21" s="40">
        <f ca="1">IF($N21=1,O21+$E21,P20)</f>
        <v>0.3833333333333333</v>
      </c>
      <c r="Q21" s="40">
        <f ca="1">IF($N21=2,M21,"")</f>
        <v>0.37708333333333333</v>
      </c>
      <c r="R21" s="40">
        <f ca="1">IF($N21=2,Q21+$E21,R20)</f>
        <v>0.38055555555555554</v>
      </c>
      <c r="S21" s="40" t="str">
        <f ca="1">IF($N21=3,M21,"")</f>
        <v/>
      </c>
      <c r="T21" s="40">
        <f ca="1">IF($N21=3,S21+$E21,T20)</f>
        <v>0.375</v>
      </c>
      <c r="U21" s="40" t="str">
        <f ca="1">IF(H21="ушёл",I21-F21,"")</f>
        <v/>
      </c>
      <c r="V21" s="40">
        <f ca="1">IF(I21="ушёл","",F21+G21)</f>
        <v>0.37708333333333333</v>
      </c>
      <c r="W21" s="40">
        <f ca="1">Y21-F21</f>
        <v>3.4722222222222099E-3</v>
      </c>
      <c r="X21" s="40">
        <f ca="1">IF(H21="ушёл",W21,$E21+G21)</f>
        <v>3.472222222222222E-3</v>
      </c>
      <c r="Y21" s="40">
        <f ca="1">IF(H21="ушёл",I21,CHOOSE(N21,P21,R21,T21))</f>
        <v>0.38055555555555554</v>
      </c>
      <c r="Z21">
        <f ca="1">COUNTIF($M$19:$M20,"&gt;"&amp;$F21)</f>
        <v>0</v>
      </c>
    </row>
    <row r="22" spans="1:26" x14ac:dyDescent="0.3">
      <c r="A22">
        <f t="shared" ref="A22:A69" ca="1" si="4">IF(ISTEXT(F22),"закрыто",A21+1)</f>
        <v>3</v>
      </c>
      <c r="B22">
        <f t="shared" ref="B22:B85" ca="1" si="5">RANDBETWEEN(1,3)</f>
        <v>1</v>
      </c>
      <c r="C22" s="40">
        <f t="shared" ref="C22:C69" ca="1" si="6">B22/(60*24)</f>
        <v>6.9444444444444447E-4</v>
      </c>
      <c r="D22">
        <f t="shared" ca="1" si="0"/>
        <v>1</v>
      </c>
      <c r="E22" s="40">
        <f t="shared" ref="E22:E69" ca="1" si="7">D22/1440</f>
        <v>6.9444444444444447E-4</v>
      </c>
      <c r="F22" s="40">
        <f t="shared" ca="1" si="1"/>
        <v>0.37777777777777777</v>
      </c>
      <c r="G22" s="40">
        <f t="shared" ref="G22:G69" ca="1" si="8">IF(ISTEXT(F22),"",M22-F22)</f>
        <v>0</v>
      </c>
      <c r="H22" t="str">
        <f t="shared" ca="1" si="2"/>
        <v/>
      </c>
      <c r="I22" s="40" t="str">
        <f t="shared" ca="1" si="3"/>
        <v/>
      </c>
      <c r="J22" s="40">
        <f ca="1">IF(ISTEXT($F22),"",MAX($P$19:P21,$F22))</f>
        <v>0.3833333333333333</v>
      </c>
      <c r="K22" s="40">
        <f ca="1">IF(ISTEXT($F22),"",MAX($R$19:R21,$F22))</f>
        <v>0.38055555555555554</v>
      </c>
      <c r="L22" s="40">
        <f t="shared" ref="L22:L69" ca="1" si="9">IF(ISTEXT($F22),"",MAX(T20:T21,$F22))</f>
        <v>0.37777777777777777</v>
      </c>
      <c r="M22" s="40">
        <f t="shared" ref="M22:M69" ca="1" si="10">IF(ISTEXT(F22),"",MIN(J22:L22))</f>
        <v>0.37777777777777777</v>
      </c>
      <c r="N22">
        <f t="shared" ref="N22:N69" ca="1" si="11">IF(OR(ISTEXT(F22),H22="ушёл"),"",MATCH(M22,J22:L22,0))</f>
        <v>3</v>
      </c>
      <c r="O22" s="40" t="str">
        <f t="shared" ref="O22:O69" ca="1" si="12">IF($N22=1,M22,"")</f>
        <v/>
      </c>
      <c r="P22" s="40">
        <f t="shared" ref="P22:P69" ca="1" si="13">IF($N22=1,O22+$E22,P21)</f>
        <v>0.3833333333333333</v>
      </c>
      <c r="Q22" s="40" t="str">
        <f t="shared" ref="Q22:Q69" ca="1" si="14">IF($N22=2,M22,"")</f>
        <v/>
      </c>
      <c r="R22" s="40">
        <f t="shared" ref="R22:R69" ca="1" si="15">IF($N22=2,Q22+$E22,R21)</f>
        <v>0.38055555555555554</v>
      </c>
      <c r="S22" s="40">
        <f t="shared" ref="S22:S69" ca="1" si="16">IF($N22=3,M22,"")</f>
        <v>0.37777777777777777</v>
      </c>
      <c r="T22" s="40">
        <f t="shared" ref="T22:T69" ca="1" si="17">IF($N22=3,S22+$E22,T21)</f>
        <v>0.37847222222222221</v>
      </c>
      <c r="U22" s="40" t="str">
        <f t="shared" ref="U22:U69" ca="1" si="18">IF(H22="ушёл",I22-F22,"")</f>
        <v/>
      </c>
      <c r="V22" s="40">
        <f t="shared" ref="V22:V69" ca="1" si="19">IF(I22="ушёл","",F22+G22)</f>
        <v>0.37777777777777777</v>
      </c>
      <c r="W22" s="40">
        <f t="shared" ref="W22:W69" ca="1" si="20">Y22-F22</f>
        <v>6.9444444444444198E-4</v>
      </c>
      <c r="X22" s="40">
        <f t="shared" ref="X22:X69" ca="1" si="21">IF(H22="ушёл",W22,$E22+G22)</f>
        <v>6.9444444444444447E-4</v>
      </c>
      <c r="Y22" s="40">
        <f t="shared" ref="Y22:Y69" ca="1" si="22">IF(H22="ушёл",I22,CHOOSE(N22,P22,R22,T22))</f>
        <v>0.37847222222222221</v>
      </c>
      <c r="Z22">
        <f ca="1">COUNTIF($M$19:$M21,"&gt;"&amp;$F22)</f>
        <v>0</v>
      </c>
    </row>
    <row r="23" spans="1:26" x14ac:dyDescent="0.3">
      <c r="A23">
        <f t="shared" ca="1" si="4"/>
        <v>4</v>
      </c>
      <c r="B23">
        <f t="shared" ca="1" si="5"/>
        <v>1</v>
      </c>
      <c r="C23" s="40">
        <f t="shared" ca="1" si="6"/>
        <v>6.9444444444444447E-4</v>
      </c>
      <c r="D23">
        <f t="shared" ca="1" si="0"/>
        <v>10</v>
      </c>
      <c r="E23" s="40">
        <f t="shared" ca="1" si="7"/>
        <v>6.9444444444444441E-3</v>
      </c>
      <c r="F23" s="40">
        <f t="shared" ca="1" si="1"/>
        <v>0.37847222222222221</v>
      </c>
      <c r="G23" s="40">
        <f t="shared" ca="1" si="8"/>
        <v>0</v>
      </c>
      <c r="H23" t="str">
        <f t="shared" ca="1" si="2"/>
        <v/>
      </c>
      <c r="I23" s="40" t="str">
        <f t="shared" ca="1" si="3"/>
        <v/>
      </c>
      <c r="J23" s="40">
        <f ca="1">IF(ISTEXT($F23),"",MAX($P$19:P22,$F23))</f>
        <v>0.3833333333333333</v>
      </c>
      <c r="K23" s="40">
        <f ca="1">IF(ISTEXT($F23),"",MAX($R$19:R22,$F23))</f>
        <v>0.38055555555555554</v>
      </c>
      <c r="L23" s="40">
        <f t="shared" ca="1" si="9"/>
        <v>0.37847222222222221</v>
      </c>
      <c r="M23" s="40">
        <f t="shared" ca="1" si="10"/>
        <v>0.37847222222222221</v>
      </c>
      <c r="N23">
        <f t="shared" ca="1" si="11"/>
        <v>3</v>
      </c>
      <c r="O23" s="40" t="str">
        <f t="shared" ca="1" si="12"/>
        <v/>
      </c>
      <c r="P23" s="40">
        <f t="shared" ca="1" si="13"/>
        <v>0.3833333333333333</v>
      </c>
      <c r="Q23" s="40" t="str">
        <f t="shared" ca="1" si="14"/>
        <v/>
      </c>
      <c r="R23" s="40">
        <f t="shared" ca="1" si="15"/>
        <v>0.38055555555555554</v>
      </c>
      <c r="S23" s="40">
        <f t="shared" ca="1" si="16"/>
        <v>0.37847222222222221</v>
      </c>
      <c r="T23" s="40">
        <f t="shared" ca="1" si="17"/>
        <v>0.38541666666666663</v>
      </c>
      <c r="U23" s="40" t="str">
        <f t="shared" ca="1" si="18"/>
        <v/>
      </c>
      <c r="V23" s="40">
        <f t="shared" ca="1" si="19"/>
        <v>0.37847222222222221</v>
      </c>
      <c r="W23" s="40">
        <f t="shared" ca="1" si="20"/>
        <v>6.9444444444444198E-3</v>
      </c>
      <c r="X23" s="40">
        <f t="shared" ca="1" si="21"/>
        <v>6.9444444444444441E-3</v>
      </c>
      <c r="Y23" s="40">
        <f t="shared" ca="1" si="22"/>
        <v>0.38541666666666663</v>
      </c>
      <c r="Z23">
        <f ca="1">COUNTIF($M$19:$M22,"&gt;"&amp;$F23)</f>
        <v>0</v>
      </c>
    </row>
    <row r="24" spans="1:26" x14ac:dyDescent="0.3">
      <c r="A24">
        <f t="shared" ca="1" si="4"/>
        <v>5</v>
      </c>
      <c r="B24">
        <f t="shared" ca="1" si="5"/>
        <v>1</v>
      </c>
      <c r="C24" s="40">
        <f t="shared" ca="1" si="6"/>
        <v>6.9444444444444447E-4</v>
      </c>
      <c r="D24">
        <f t="shared" ca="1" si="0"/>
        <v>1</v>
      </c>
      <c r="E24" s="40">
        <f t="shared" ca="1" si="7"/>
        <v>6.9444444444444447E-4</v>
      </c>
      <c r="F24" s="40">
        <f t="shared" ca="1" si="1"/>
        <v>0.37916666666666665</v>
      </c>
      <c r="G24" s="40">
        <f t="shared" ca="1" si="8"/>
        <v>1.388888888888884E-3</v>
      </c>
      <c r="H24" t="str">
        <f t="shared" ca="1" si="2"/>
        <v/>
      </c>
      <c r="I24" s="40" t="str">
        <f t="shared" ca="1" si="3"/>
        <v/>
      </c>
      <c r="J24" s="40">
        <f ca="1">IF(ISTEXT($F24),"",MAX($P$19:P23,$F24))</f>
        <v>0.3833333333333333</v>
      </c>
      <c r="K24" s="40">
        <f ca="1">IF(ISTEXT($F24),"",MAX($R$19:R23,$F24))</f>
        <v>0.38055555555555554</v>
      </c>
      <c r="L24" s="40">
        <f t="shared" ca="1" si="9"/>
        <v>0.38541666666666663</v>
      </c>
      <c r="M24" s="40">
        <f t="shared" ca="1" si="10"/>
        <v>0.38055555555555554</v>
      </c>
      <c r="N24">
        <f t="shared" ca="1" si="11"/>
        <v>2</v>
      </c>
      <c r="O24" s="40" t="str">
        <f t="shared" ca="1" si="12"/>
        <v/>
      </c>
      <c r="P24" s="40">
        <f t="shared" ca="1" si="13"/>
        <v>0.3833333333333333</v>
      </c>
      <c r="Q24" s="40">
        <f t="shared" ca="1" si="14"/>
        <v>0.38055555555555554</v>
      </c>
      <c r="R24" s="40">
        <f t="shared" ca="1" si="15"/>
        <v>0.38124999999999998</v>
      </c>
      <c r="S24" s="40" t="str">
        <f t="shared" ca="1" si="16"/>
        <v/>
      </c>
      <c r="T24" s="40">
        <f t="shared" ca="1" si="17"/>
        <v>0.38541666666666663</v>
      </c>
      <c r="U24" s="40" t="str">
        <f t="shared" ca="1" si="18"/>
        <v/>
      </c>
      <c r="V24" s="40">
        <f t="shared" ca="1" si="19"/>
        <v>0.38055555555555554</v>
      </c>
      <c r="W24" s="40">
        <f t="shared" ca="1" si="20"/>
        <v>2.0833333333333259E-3</v>
      </c>
      <c r="X24" s="40">
        <f t="shared" ca="1" si="21"/>
        <v>2.0833333333333285E-3</v>
      </c>
      <c r="Y24" s="40">
        <f t="shared" ca="1" si="22"/>
        <v>0.38124999999999998</v>
      </c>
      <c r="Z24">
        <f ca="1">COUNTIF($M$19:$M23,"&gt;"&amp;$F24)</f>
        <v>0</v>
      </c>
    </row>
    <row r="25" spans="1:26" x14ac:dyDescent="0.3">
      <c r="A25">
        <f t="shared" ca="1" si="4"/>
        <v>6</v>
      </c>
      <c r="B25">
        <f t="shared" ca="1" si="5"/>
        <v>3</v>
      </c>
      <c r="C25" s="40">
        <f t="shared" ca="1" si="6"/>
        <v>2.0833333333333333E-3</v>
      </c>
      <c r="D25">
        <f t="shared" ca="1" si="0"/>
        <v>5</v>
      </c>
      <c r="E25" s="40">
        <f t="shared" ca="1" si="7"/>
        <v>3.472222222222222E-3</v>
      </c>
      <c r="F25" s="40">
        <f t="shared" ca="1" si="1"/>
        <v>0.38124999999999998</v>
      </c>
      <c r="G25" s="40">
        <f t="shared" ca="1" si="8"/>
        <v>0</v>
      </c>
      <c r="H25" t="str">
        <f t="shared" ca="1" si="2"/>
        <v/>
      </c>
      <c r="I25" s="40" t="str">
        <f t="shared" ca="1" si="3"/>
        <v/>
      </c>
      <c r="J25" s="40">
        <f ca="1">IF(ISTEXT($F25),"",MAX($P$19:P24,$F25))</f>
        <v>0.3833333333333333</v>
      </c>
      <c r="K25" s="40">
        <f ca="1">IF(ISTEXT($F25),"",MAX($R$19:R24,$F25))</f>
        <v>0.38124999999999998</v>
      </c>
      <c r="L25" s="40">
        <f t="shared" ca="1" si="9"/>
        <v>0.38541666666666663</v>
      </c>
      <c r="M25" s="40">
        <f t="shared" ca="1" si="10"/>
        <v>0.38124999999999998</v>
      </c>
      <c r="N25">
        <f t="shared" ca="1" si="11"/>
        <v>2</v>
      </c>
      <c r="O25" s="40" t="str">
        <f t="shared" ca="1" si="12"/>
        <v/>
      </c>
      <c r="P25" s="40">
        <f t="shared" ca="1" si="13"/>
        <v>0.3833333333333333</v>
      </c>
      <c r="Q25" s="40">
        <f t="shared" ca="1" si="14"/>
        <v>0.38124999999999998</v>
      </c>
      <c r="R25" s="40">
        <f t="shared" ca="1" si="15"/>
        <v>0.38472222222222219</v>
      </c>
      <c r="S25" s="40" t="str">
        <f t="shared" ca="1" si="16"/>
        <v/>
      </c>
      <c r="T25" s="40">
        <f t="shared" ca="1" si="17"/>
        <v>0.38541666666666663</v>
      </c>
      <c r="U25" s="40" t="str">
        <f t="shared" ca="1" si="18"/>
        <v/>
      </c>
      <c r="V25" s="40">
        <f t="shared" ca="1" si="19"/>
        <v>0.38124999999999998</v>
      </c>
      <c r="W25" s="40">
        <f t="shared" ca="1" si="20"/>
        <v>3.4722222222222099E-3</v>
      </c>
      <c r="X25" s="40">
        <f t="shared" ca="1" si="21"/>
        <v>3.472222222222222E-3</v>
      </c>
      <c r="Y25" s="40">
        <f t="shared" ca="1" si="22"/>
        <v>0.38472222222222219</v>
      </c>
      <c r="Z25">
        <f ca="1">COUNTIF($M$19:$M24,"&gt;"&amp;$F25)</f>
        <v>0</v>
      </c>
    </row>
    <row r="26" spans="1:26" x14ac:dyDescent="0.3">
      <c r="A26">
        <f t="shared" ca="1" si="4"/>
        <v>7</v>
      </c>
      <c r="B26">
        <f t="shared" ca="1" si="5"/>
        <v>2</v>
      </c>
      <c r="C26" s="40">
        <f t="shared" ca="1" si="6"/>
        <v>1.3888888888888889E-3</v>
      </c>
      <c r="D26">
        <f t="shared" ca="1" si="0"/>
        <v>5</v>
      </c>
      <c r="E26" s="40">
        <f t="shared" ca="1" si="7"/>
        <v>3.472222222222222E-3</v>
      </c>
      <c r="F26" s="40">
        <f t="shared" ca="1" si="1"/>
        <v>0.38263888888888886</v>
      </c>
      <c r="G26" s="40">
        <f t="shared" ca="1" si="8"/>
        <v>6.9444444444444198E-4</v>
      </c>
      <c r="H26" t="str">
        <f t="shared" ca="1" si="2"/>
        <v/>
      </c>
      <c r="I26" s="40" t="str">
        <f t="shared" ca="1" si="3"/>
        <v/>
      </c>
      <c r="J26" s="40">
        <f ca="1">IF(ISTEXT($F26),"",MAX($P$19:P25,$F26))</f>
        <v>0.3833333333333333</v>
      </c>
      <c r="K26" s="40">
        <f ca="1">IF(ISTEXT($F26),"",MAX($R$19:R25,$F26))</f>
        <v>0.38472222222222219</v>
      </c>
      <c r="L26" s="40">
        <f t="shared" ca="1" si="9"/>
        <v>0.38541666666666663</v>
      </c>
      <c r="M26" s="40">
        <f t="shared" ca="1" si="10"/>
        <v>0.3833333333333333</v>
      </c>
      <c r="N26">
        <f t="shared" ca="1" si="11"/>
        <v>1</v>
      </c>
      <c r="O26" s="40">
        <f t="shared" ca="1" si="12"/>
        <v>0.3833333333333333</v>
      </c>
      <c r="P26" s="40">
        <f t="shared" ca="1" si="13"/>
        <v>0.38680555555555551</v>
      </c>
      <c r="Q26" s="40" t="str">
        <f t="shared" ca="1" si="14"/>
        <v/>
      </c>
      <c r="R26" s="40">
        <f t="shared" ca="1" si="15"/>
        <v>0.38472222222222219</v>
      </c>
      <c r="S26" s="40" t="str">
        <f t="shared" ca="1" si="16"/>
        <v/>
      </c>
      <c r="T26" s="40">
        <f t="shared" ca="1" si="17"/>
        <v>0.38541666666666663</v>
      </c>
      <c r="U26" s="40" t="str">
        <f t="shared" ca="1" si="18"/>
        <v/>
      </c>
      <c r="V26" s="40">
        <f t="shared" ca="1" si="19"/>
        <v>0.3833333333333333</v>
      </c>
      <c r="W26" s="40">
        <f t="shared" ca="1" si="20"/>
        <v>4.1666666666666519E-3</v>
      </c>
      <c r="X26" s="40">
        <f t="shared" ca="1" si="21"/>
        <v>4.166666666666664E-3</v>
      </c>
      <c r="Y26" s="40">
        <f t="shared" ca="1" si="22"/>
        <v>0.38680555555555551</v>
      </c>
      <c r="Z26">
        <f ca="1">COUNTIF($M$19:$M25,"&gt;"&amp;$F26)</f>
        <v>0</v>
      </c>
    </row>
    <row r="27" spans="1:26" x14ac:dyDescent="0.3">
      <c r="A27">
        <f t="shared" ca="1" si="4"/>
        <v>8</v>
      </c>
      <c r="B27">
        <f t="shared" ca="1" si="5"/>
        <v>2</v>
      </c>
      <c r="C27" s="40">
        <f t="shared" ca="1" si="6"/>
        <v>1.3888888888888889E-3</v>
      </c>
      <c r="D27">
        <f t="shared" ca="1" si="0"/>
        <v>10</v>
      </c>
      <c r="E27" s="40">
        <f t="shared" ca="1" si="7"/>
        <v>6.9444444444444441E-3</v>
      </c>
      <c r="F27" s="40">
        <f t="shared" ca="1" si="1"/>
        <v>0.38402777777777775</v>
      </c>
      <c r="G27" s="40">
        <f t="shared" ca="1" si="8"/>
        <v>6.9444444444444198E-4</v>
      </c>
      <c r="H27" t="str">
        <f t="shared" ca="1" si="2"/>
        <v/>
      </c>
      <c r="I27" s="40" t="str">
        <f t="shared" ca="1" si="3"/>
        <v/>
      </c>
      <c r="J27" s="40">
        <f ca="1">IF(ISTEXT($F27),"",MAX($P$19:P26,$F27))</f>
        <v>0.38680555555555551</v>
      </c>
      <c r="K27" s="40">
        <f ca="1">IF(ISTEXT($F27),"",MAX($R$19:R26,$F27))</f>
        <v>0.38472222222222219</v>
      </c>
      <c r="L27" s="40">
        <f t="shared" ca="1" si="9"/>
        <v>0.38541666666666663</v>
      </c>
      <c r="M27" s="40">
        <f t="shared" ca="1" si="10"/>
        <v>0.38472222222222219</v>
      </c>
      <c r="N27">
        <f t="shared" ca="1" si="11"/>
        <v>2</v>
      </c>
      <c r="O27" s="40" t="str">
        <f t="shared" ca="1" si="12"/>
        <v/>
      </c>
      <c r="P27" s="40">
        <f t="shared" ca="1" si="13"/>
        <v>0.38680555555555551</v>
      </c>
      <c r="Q27" s="40">
        <f t="shared" ca="1" si="14"/>
        <v>0.38472222222222219</v>
      </c>
      <c r="R27" s="40">
        <f t="shared" ca="1" si="15"/>
        <v>0.39166666666666661</v>
      </c>
      <c r="S27" s="40" t="str">
        <f t="shared" ca="1" si="16"/>
        <v/>
      </c>
      <c r="T27" s="40">
        <f t="shared" ca="1" si="17"/>
        <v>0.38541666666666663</v>
      </c>
      <c r="U27" s="40" t="str">
        <f t="shared" ca="1" si="18"/>
        <v/>
      </c>
      <c r="V27" s="40">
        <f t="shared" ca="1" si="19"/>
        <v>0.38472222222222219</v>
      </c>
      <c r="W27" s="40">
        <f t="shared" ca="1" si="20"/>
        <v>7.6388888888888618E-3</v>
      </c>
      <c r="X27" s="40">
        <f t="shared" ca="1" si="21"/>
        <v>7.638888888888886E-3</v>
      </c>
      <c r="Y27" s="40">
        <f t="shared" ca="1" si="22"/>
        <v>0.39166666666666661</v>
      </c>
      <c r="Z27">
        <f ca="1">COUNTIF($M$19:$M26,"&gt;"&amp;$F27)</f>
        <v>0</v>
      </c>
    </row>
    <row r="28" spans="1:26" x14ac:dyDescent="0.3">
      <c r="A28">
        <f t="shared" ca="1" si="4"/>
        <v>9</v>
      </c>
      <c r="B28">
        <f t="shared" ca="1" si="5"/>
        <v>2</v>
      </c>
      <c r="C28" s="40">
        <f t="shared" ca="1" si="6"/>
        <v>1.3888888888888889E-3</v>
      </c>
      <c r="D28">
        <f t="shared" ca="1" si="0"/>
        <v>10</v>
      </c>
      <c r="E28" s="40">
        <f t="shared" ca="1" si="7"/>
        <v>6.9444444444444441E-3</v>
      </c>
      <c r="F28" s="40">
        <f t="shared" ca="1" si="1"/>
        <v>0.38541666666666663</v>
      </c>
      <c r="G28" s="40">
        <f t="shared" ca="1" si="8"/>
        <v>0</v>
      </c>
      <c r="H28" t="str">
        <f t="shared" ca="1" si="2"/>
        <v/>
      </c>
      <c r="I28" s="40" t="str">
        <f t="shared" ca="1" si="3"/>
        <v/>
      </c>
      <c r="J28" s="40">
        <f ca="1">IF(ISTEXT($F28),"",MAX($P$19:P27,$F28))</f>
        <v>0.38680555555555551</v>
      </c>
      <c r="K28" s="40">
        <f ca="1">IF(ISTEXT($F28),"",MAX($R$19:R27,$F28))</f>
        <v>0.39166666666666661</v>
      </c>
      <c r="L28" s="40">
        <f t="shared" ca="1" si="9"/>
        <v>0.38541666666666663</v>
      </c>
      <c r="M28" s="40">
        <f t="shared" ca="1" si="10"/>
        <v>0.38541666666666663</v>
      </c>
      <c r="N28">
        <f t="shared" ca="1" si="11"/>
        <v>3</v>
      </c>
      <c r="O28" s="40" t="str">
        <f t="shared" ca="1" si="12"/>
        <v/>
      </c>
      <c r="P28" s="40">
        <f t="shared" ca="1" si="13"/>
        <v>0.38680555555555551</v>
      </c>
      <c r="Q28" s="40" t="str">
        <f t="shared" ca="1" si="14"/>
        <v/>
      </c>
      <c r="R28" s="40">
        <f t="shared" ca="1" si="15"/>
        <v>0.39166666666666661</v>
      </c>
      <c r="S28" s="40">
        <f t="shared" ca="1" si="16"/>
        <v>0.38541666666666663</v>
      </c>
      <c r="T28" s="40">
        <f t="shared" ca="1" si="17"/>
        <v>0.39236111111111105</v>
      </c>
      <c r="U28" s="40" t="str">
        <f t="shared" ca="1" si="18"/>
        <v/>
      </c>
      <c r="V28" s="40">
        <f t="shared" ca="1" si="19"/>
        <v>0.38541666666666663</v>
      </c>
      <c r="W28" s="40">
        <f t="shared" ca="1" si="20"/>
        <v>6.9444444444444198E-3</v>
      </c>
      <c r="X28" s="40">
        <f t="shared" ca="1" si="21"/>
        <v>6.9444444444444441E-3</v>
      </c>
      <c r="Y28" s="40">
        <f t="shared" ca="1" si="22"/>
        <v>0.39236111111111105</v>
      </c>
      <c r="Z28">
        <f ca="1">COUNTIF($M$19:$M27,"&gt;"&amp;$F28)</f>
        <v>0</v>
      </c>
    </row>
    <row r="29" spans="1:26" x14ac:dyDescent="0.3">
      <c r="A29">
        <f t="shared" ca="1" si="4"/>
        <v>10</v>
      </c>
      <c r="B29">
        <f t="shared" ca="1" si="5"/>
        <v>2</v>
      </c>
      <c r="C29" s="40">
        <f t="shared" ca="1" si="6"/>
        <v>1.3888888888888889E-3</v>
      </c>
      <c r="D29">
        <f t="shared" ca="1" si="0"/>
        <v>3</v>
      </c>
      <c r="E29" s="40">
        <f t="shared" ca="1" si="7"/>
        <v>2.0833333333333333E-3</v>
      </c>
      <c r="F29" s="40">
        <f t="shared" ca="1" si="1"/>
        <v>0.38680555555555551</v>
      </c>
      <c r="G29" s="40">
        <f t="shared" ca="1" si="8"/>
        <v>0</v>
      </c>
      <c r="H29" t="str">
        <f t="shared" ca="1" si="2"/>
        <v/>
      </c>
      <c r="I29" s="40" t="str">
        <f t="shared" ca="1" si="3"/>
        <v/>
      </c>
      <c r="J29" s="40">
        <f ca="1">IF(ISTEXT($F29),"",MAX($P$19:P28,$F29))</f>
        <v>0.38680555555555551</v>
      </c>
      <c r="K29" s="40">
        <f ca="1">IF(ISTEXT($F29),"",MAX($R$19:R28,$F29))</f>
        <v>0.39166666666666661</v>
      </c>
      <c r="L29" s="40">
        <f t="shared" ca="1" si="9"/>
        <v>0.39236111111111105</v>
      </c>
      <c r="M29" s="40">
        <f t="shared" ca="1" si="10"/>
        <v>0.38680555555555551</v>
      </c>
      <c r="N29">
        <f t="shared" ca="1" si="11"/>
        <v>1</v>
      </c>
      <c r="O29" s="40">
        <f t="shared" ca="1" si="12"/>
        <v>0.38680555555555551</v>
      </c>
      <c r="P29" s="40">
        <f t="shared" ca="1" si="13"/>
        <v>0.38888888888888884</v>
      </c>
      <c r="Q29" s="40" t="str">
        <f t="shared" ca="1" si="14"/>
        <v/>
      </c>
      <c r="R29" s="40">
        <f t="shared" ca="1" si="15"/>
        <v>0.39166666666666661</v>
      </c>
      <c r="S29" s="40" t="str">
        <f t="shared" ca="1" si="16"/>
        <v/>
      </c>
      <c r="T29" s="40">
        <f t="shared" ca="1" si="17"/>
        <v>0.39236111111111105</v>
      </c>
      <c r="U29" s="40" t="str">
        <f t="shared" ca="1" si="18"/>
        <v/>
      </c>
      <c r="V29" s="40">
        <f t="shared" ca="1" si="19"/>
        <v>0.38680555555555551</v>
      </c>
      <c r="W29" s="40">
        <f t="shared" ca="1" si="20"/>
        <v>2.0833333333333259E-3</v>
      </c>
      <c r="X29" s="40">
        <f t="shared" ca="1" si="21"/>
        <v>2.0833333333333333E-3</v>
      </c>
      <c r="Y29" s="40">
        <f t="shared" ca="1" si="22"/>
        <v>0.38888888888888884</v>
      </c>
      <c r="Z29">
        <f ca="1">COUNTIF($M$19:$M28,"&gt;"&amp;$F29)</f>
        <v>0</v>
      </c>
    </row>
    <row r="30" spans="1:26" x14ac:dyDescent="0.3">
      <c r="A30">
        <f t="shared" ca="1" si="4"/>
        <v>11</v>
      </c>
      <c r="B30">
        <f t="shared" ca="1" si="5"/>
        <v>3</v>
      </c>
      <c r="C30" s="40">
        <f t="shared" ca="1" si="6"/>
        <v>2.0833333333333333E-3</v>
      </c>
      <c r="D30">
        <f t="shared" ca="1" si="0"/>
        <v>10</v>
      </c>
      <c r="E30" s="40">
        <f t="shared" ca="1" si="7"/>
        <v>6.9444444444444441E-3</v>
      </c>
      <c r="F30" s="40">
        <f t="shared" ca="1" si="1"/>
        <v>0.38888888888888884</v>
      </c>
      <c r="G30" s="40">
        <f t="shared" ca="1" si="8"/>
        <v>0</v>
      </c>
      <c r="H30" t="str">
        <f t="shared" ca="1" si="2"/>
        <v/>
      </c>
      <c r="I30" s="40" t="str">
        <f t="shared" ca="1" si="3"/>
        <v/>
      </c>
      <c r="J30" s="40">
        <f ca="1">IF(ISTEXT($F30),"",MAX($P$19:P29,$F30))</f>
        <v>0.38888888888888884</v>
      </c>
      <c r="K30" s="40">
        <f ca="1">IF(ISTEXT($F30),"",MAX($R$19:R29,$F30))</f>
        <v>0.39166666666666661</v>
      </c>
      <c r="L30" s="40">
        <f t="shared" ca="1" si="9"/>
        <v>0.39236111111111105</v>
      </c>
      <c r="M30" s="40">
        <f t="shared" ca="1" si="10"/>
        <v>0.38888888888888884</v>
      </c>
      <c r="N30">
        <f t="shared" ca="1" si="11"/>
        <v>1</v>
      </c>
      <c r="O30" s="40">
        <f t="shared" ca="1" si="12"/>
        <v>0.38888888888888884</v>
      </c>
      <c r="P30" s="40">
        <f t="shared" ca="1" si="13"/>
        <v>0.39583333333333326</v>
      </c>
      <c r="Q30" s="40" t="str">
        <f t="shared" ca="1" si="14"/>
        <v/>
      </c>
      <c r="R30" s="40">
        <f t="shared" ca="1" si="15"/>
        <v>0.39166666666666661</v>
      </c>
      <c r="S30" s="40" t="str">
        <f t="shared" ca="1" si="16"/>
        <v/>
      </c>
      <c r="T30" s="40">
        <f t="shared" ca="1" si="17"/>
        <v>0.39236111111111105</v>
      </c>
      <c r="U30" s="40" t="str">
        <f t="shared" ca="1" si="18"/>
        <v/>
      </c>
      <c r="V30" s="40">
        <f t="shared" ca="1" si="19"/>
        <v>0.38888888888888884</v>
      </c>
      <c r="W30" s="40">
        <f t="shared" ca="1" si="20"/>
        <v>6.9444444444444198E-3</v>
      </c>
      <c r="X30" s="40">
        <f t="shared" ca="1" si="21"/>
        <v>6.9444444444444441E-3</v>
      </c>
      <c r="Y30" s="40">
        <f t="shared" ca="1" si="22"/>
        <v>0.39583333333333326</v>
      </c>
      <c r="Z30">
        <f ca="1">COUNTIF($M$19:$M29,"&gt;"&amp;$F30)</f>
        <v>0</v>
      </c>
    </row>
    <row r="31" spans="1:26" x14ac:dyDescent="0.3">
      <c r="A31">
        <f t="shared" ca="1" si="4"/>
        <v>12</v>
      </c>
      <c r="B31">
        <f t="shared" ca="1" si="5"/>
        <v>2</v>
      </c>
      <c r="C31" s="40">
        <f t="shared" ca="1" si="6"/>
        <v>1.3888888888888889E-3</v>
      </c>
      <c r="D31">
        <f t="shared" ca="1" si="0"/>
        <v>5</v>
      </c>
      <c r="E31" s="40">
        <f t="shared" ca="1" si="7"/>
        <v>3.472222222222222E-3</v>
      </c>
      <c r="F31" s="40">
        <f t="shared" ca="1" si="1"/>
        <v>0.39027777777777772</v>
      </c>
      <c r="G31" s="40">
        <f t="shared" ca="1" si="8"/>
        <v>1.388888888888884E-3</v>
      </c>
      <c r="H31" t="str">
        <f t="shared" ca="1" si="2"/>
        <v/>
      </c>
      <c r="I31" s="40" t="str">
        <f t="shared" ca="1" si="3"/>
        <v/>
      </c>
      <c r="J31" s="40">
        <f ca="1">IF(ISTEXT($F31),"",MAX($P$19:P30,$F31))</f>
        <v>0.39583333333333326</v>
      </c>
      <c r="K31" s="40">
        <f ca="1">IF(ISTEXT($F31),"",MAX($R$19:R30,$F31))</f>
        <v>0.39166666666666661</v>
      </c>
      <c r="L31" s="40">
        <f t="shared" ca="1" si="9"/>
        <v>0.39236111111111105</v>
      </c>
      <c r="M31" s="40">
        <f t="shared" ca="1" si="10"/>
        <v>0.39166666666666661</v>
      </c>
      <c r="N31">
        <f t="shared" ca="1" si="11"/>
        <v>2</v>
      </c>
      <c r="O31" s="40" t="str">
        <f t="shared" ca="1" si="12"/>
        <v/>
      </c>
      <c r="P31" s="40">
        <f t="shared" ca="1" si="13"/>
        <v>0.39583333333333326</v>
      </c>
      <c r="Q31" s="40">
        <f t="shared" ca="1" si="14"/>
        <v>0.39166666666666661</v>
      </c>
      <c r="R31" s="40">
        <f t="shared" ca="1" si="15"/>
        <v>0.39513888888888882</v>
      </c>
      <c r="S31" s="40" t="str">
        <f t="shared" ca="1" si="16"/>
        <v/>
      </c>
      <c r="T31" s="40">
        <f t="shared" ca="1" si="17"/>
        <v>0.39236111111111105</v>
      </c>
      <c r="U31" s="40" t="str">
        <f t="shared" ca="1" si="18"/>
        <v/>
      </c>
      <c r="V31" s="40">
        <f t="shared" ca="1" si="19"/>
        <v>0.39166666666666661</v>
      </c>
      <c r="W31" s="40">
        <f t="shared" ca="1" si="20"/>
        <v>4.8611111111110938E-3</v>
      </c>
      <c r="X31" s="40">
        <f t="shared" ca="1" si="21"/>
        <v>4.861111111111106E-3</v>
      </c>
      <c r="Y31" s="40">
        <f t="shared" ca="1" si="22"/>
        <v>0.39513888888888882</v>
      </c>
      <c r="Z31">
        <f ca="1">COUNTIF($M$19:$M30,"&gt;"&amp;$F31)</f>
        <v>0</v>
      </c>
    </row>
    <row r="32" spans="1:26" x14ac:dyDescent="0.3">
      <c r="A32">
        <f t="shared" ca="1" si="4"/>
        <v>13</v>
      </c>
      <c r="B32">
        <f t="shared" ca="1" si="5"/>
        <v>1</v>
      </c>
      <c r="C32" s="40">
        <f t="shared" ca="1" si="6"/>
        <v>6.9444444444444447E-4</v>
      </c>
      <c r="D32">
        <f t="shared" ca="1" si="0"/>
        <v>10</v>
      </c>
      <c r="E32" s="40">
        <f t="shared" ca="1" si="7"/>
        <v>6.9444444444444441E-3</v>
      </c>
      <c r="F32" s="40">
        <f t="shared" ca="1" si="1"/>
        <v>0.39097222222222217</v>
      </c>
      <c r="G32" s="40">
        <f t="shared" ca="1" si="8"/>
        <v>1.388888888888884E-3</v>
      </c>
      <c r="H32" t="str">
        <f t="shared" ca="1" si="2"/>
        <v/>
      </c>
      <c r="I32" s="40" t="str">
        <f t="shared" ca="1" si="3"/>
        <v/>
      </c>
      <c r="J32" s="40">
        <f ca="1">IF(ISTEXT($F32),"",MAX($P$19:P31,$F32))</f>
        <v>0.39583333333333326</v>
      </c>
      <c r="K32" s="40">
        <f ca="1">IF(ISTEXT($F32),"",MAX($R$19:R31,$F32))</f>
        <v>0.39513888888888882</v>
      </c>
      <c r="L32" s="40">
        <f t="shared" ca="1" si="9"/>
        <v>0.39236111111111105</v>
      </c>
      <c r="M32" s="40">
        <f t="shared" ca="1" si="10"/>
        <v>0.39236111111111105</v>
      </c>
      <c r="N32">
        <f t="shared" ca="1" si="11"/>
        <v>3</v>
      </c>
      <c r="O32" s="40" t="str">
        <f t="shared" ca="1" si="12"/>
        <v/>
      </c>
      <c r="P32" s="40">
        <f t="shared" ca="1" si="13"/>
        <v>0.39583333333333326</v>
      </c>
      <c r="Q32" s="40" t="str">
        <f t="shared" ca="1" si="14"/>
        <v/>
      </c>
      <c r="R32" s="40">
        <f t="shared" ca="1" si="15"/>
        <v>0.39513888888888882</v>
      </c>
      <c r="S32" s="40">
        <f t="shared" ca="1" si="16"/>
        <v>0.39236111111111105</v>
      </c>
      <c r="T32" s="40">
        <f t="shared" ca="1" si="17"/>
        <v>0.39930555555555547</v>
      </c>
      <c r="U32" s="40" t="str">
        <f t="shared" ca="1" si="18"/>
        <v/>
      </c>
      <c r="V32" s="40">
        <f t="shared" ca="1" si="19"/>
        <v>0.39236111111111105</v>
      </c>
      <c r="W32" s="40">
        <f t="shared" ca="1" si="20"/>
        <v>8.3333333333333037E-3</v>
      </c>
      <c r="X32" s="40">
        <f t="shared" ca="1" si="21"/>
        <v>8.333333333333328E-3</v>
      </c>
      <c r="Y32" s="40">
        <f t="shared" ca="1" si="22"/>
        <v>0.39930555555555547</v>
      </c>
      <c r="Z32">
        <f ca="1">COUNTIF($M$19:$M31,"&gt;"&amp;$F32)</f>
        <v>1</v>
      </c>
    </row>
    <row r="33" spans="1:26" x14ac:dyDescent="0.3">
      <c r="A33">
        <f t="shared" ca="1" si="4"/>
        <v>14</v>
      </c>
      <c r="B33">
        <f t="shared" ca="1" si="5"/>
        <v>1</v>
      </c>
      <c r="C33" s="40">
        <f t="shared" ca="1" si="6"/>
        <v>6.9444444444444447E-4</v>
      </c>
      <c r="D33">
        <f t="shared" ca="1" si="0"/>
        <v>10</v>
      </c>
      <c r="E33" s="40">
        <f t="shared" ca="1" si="7"/>
        <v>6.9444444444444441E-3</v>
      </c>
      <c r="F33" s="40">
        <f t="shared" ca="1" si="1"/>
        <v>0.39166666666666661</v>
      </c>
      <c r="G33" s="40">
        <f t="shared" ca="1" si="8"/>
        <v>3.4722222222222099E-3</v>
      </c>
      <c r="H33" t="str">
        <f t="shared" ca="1" si="2"/>
        <v>ушёл</v>
      </c>
      <c r="I33" s="40">
        <f t="shared" ca="1" si="3"/>
        <v>0.39444444444444438</v>
      </c>
      <c r="J33" s="40">
        <f ca="1">IF(ISTEXT($F33),"",MAX($P$19:P32,$F33))</f>
        <v>0.39583333333333326</v>
      </c>
      <c r="K33" s="40">
        <f ca="1">IF(ISTEXT($F33),"",MAX($R$19:R32,$F33))</f>
        <v>0.39513888888888882</v>
      </c>
      <c r="L33" s="40">
        <f t="shared" ca="1" si="9"/>
        <v>0.39930555555555547</v>
      </c>
      <c r="M33" s="40">
        <f t="shared" ca="1" si="10"/>
        <v>0.39513888888888882</v>
      </c>
      <c r="N33" t="str">
        <f t="shared" ca="1" si="11"/>
        <v/>
      </c>
      <c r="O33" s="40" t="str">
        <f t="shared" ca="1" si="12"/>
        <v/>
      </c>
      <c r="P33" s="40">
        <f t="shared" ca="1" si="13"/>
        <v>0.39583333333333326</v>
      </c>
      <c r="Q33" s="40" t="str">
        <f t="shared" ca="1" si="14"/>
        <v/>
      </c>
      <c r="R33" s="40">
        <f t="shared" ca="1" si="15"/>
        <v>0.39513888888888882</v>
      </c>
      <c r="S33" s="40" t="str">
        <f t="shared" ca="1" si="16"/>
        <v/>
      </c>
      <c r="T33" s="40">
        <f t="shared" ca="1" si="17"/>
        <v>0.39930555555555547</v>
      </c>
      <c r="U33" s="40">
        <f t="shared" ca="1" si="18"/>
        <v>2.7777777777777679E-3</v>
      </c>
      <c r="V33" s="40">
        <f t="shared" ca="1" si="19"/>
        <v>0.39513888888888882</v>
      </c>
      <c r="W33" s="40">
        <f t="shared" ca="1" si="20"/>
        <v>2.7777777777777679E-3</v>
      </c>
      <c r="X33" s="40">
        <f t="shared" ca="1" si="21"/>
        <v>2.7777777777777679E-3</v>
      </c>
      <c r="Y33" s="40">
        <f t="shared" ca="1" si="22"/>
        <v>0.39444444444444438</v>
      </c>
      <c r="Z33">
        <f ca="1">COUNTIF($M$19:$M32,"&gt;"&amp;$F33)</f>
        <v>1</v>
      </c>
    </row>
    <row r="34" spans="1:26" x14ac:dyDescent="0.3">
      <c r="A34">
        <f t="shared" ca="1" si="4"/>
        <v>15</v>
      </c>
      <c r="B34">
        <f t="shared" ca="1" si="5"/>
        <v>3</v>
      </c>
      <c r="C34" s="40">
        <f t="shared" ca="1" si="6"/>
        <v>2.0833333333333333E-3</v>
      </c>
      <c r="D34">
        <f t="shared" ca="1" si="0"/>
        <v>1</v>
      </c>
      <c r="E34" s="40">
        <f t="shared" ca="1" si="7"/>
        <v>6.9444444444444447E-4</v>
      </c>
      <c r="F34" s="40">
        <f t="shared" ca="1" si="1"/>
        <v>0.39374999999999993</v>
      </c>
      <c r="G34" s="40">
        <f t="shared" ca="1" si="8"/>
        <v>1.388888888888884E-3</v>
      </c>
      <c r="H34" t="str">
        <f t="shared" ca="1" si="2"/>
        <v/>
      </c>
      <c r="I34" s="40" t="str">
        <f t="shared" ca="1" si="3"/>
        <v/>
      </c>
      <c r="J34" s="40">
        <f ca="1">IF(ISTEXT($F34),"",MAX($P$19:P33,$F34))</f>
        <v>0.39583333333333326</v>
      </c>
      <c r="K34" s="40">
        <f ca="1">IF(ISTEXT($F34),"",MAX($R$19:R33,$F34))</f>
        <v>0.39513888888888882</v>
      </c>
      <c r="L34" s="40">
        <f t="shared" ca="1" si="9"/>
        <v>0.39930555555555547</v>
      </c>
      <c r="M34" s="40">
        <f t="shared" ca="1" si="10"/>
        <v>0.39513888888888882</v>
      </c>
      <c r="N34">
        <f t="shared" ca="1" si="11"/>
        <v>2</v>
      </c>
      <c r="O34" s="40" t="str">
        <f t="shared" ca="1" si="12"/>
        <v/>
      </c>
      <c r="P34" s="40">
        <f t="shared" ca="1" si="13"/>
        <v>0.39583333333333326</v>
      </c>
      <c r="Q34" s="40">
        <f t="shared" ca="1" si="14"/>
        <v>0.39513888888888882</v>
      </c>
      <c r="R34" s="40">
        <f t="shared" ca="1" si="15"/>
        <v>0.39583333333333326</v>
      </c>
      <c r="S34" s="40" t="str">
        <f t="shared" ca="1" si="16"/>
        <v/>
      </c>
      <c r="T34" s="40">
        <f t="shared" ca="1" si="17"/>
        <v>0.39930555555555547</v>
      </c>
      <c r="U34" s="40" t="str">
        <f t="shared" ca="1" si="18"/>
        <v/>
      </c>
      <c r="V34" s="40">
        <f t="shared" ca="1" si="19"/>
        <v>0.39513888888888882</v>
      </c>
      <c r="W34" s="40">
        <f t="shared" ca="1" si="20"/>
        <v>2.0833333333333259E-3</v>
      </c>
      <c r="X34" s="40">
        <f t="shared" ca="1" si="21"/>
        <v>2.0833333333333285E-3</v>
      </c>
      <c r="Y34" s="40">
        <f t="shared" ca="1" si="22"/>
        <v>0.39583333333333326</v>
      </c>
      <c r="Z34">
        <f ca="1">COUNTIF($M$19:$M33,"&gt;"&amp;$F34)</f>
        <v>1</v>
      </c>
    </row>
    <row r="35" spans="1:26" x14ac:dyDescent="0.3">
      <c r="A35">
        <f t="shared" ca="1" si="4"/>
        <v>16</v>
      </c>
      <c r="B35">
        <f t="shared" ca="1" si="5"/>
        <v>1</v>
      </c>
      <c r="C35" s="40">
        <f t="shared" ca="1" si="6"/>
        <v>6.9444444444444447E-4</v>
      </c>
      <c r="D35">
        <f t="shared" ca="1" si="0"/>
        <v>10</v>
      </c>
      <c r="E35" s="40">
        <f t="shared" ca="1" si="7"/>
        <v>6.9444444444444441E-3</v>
      </c>
      <c r="F35" s="40">
        <f t="shared" ca="1" si="1"/>
        <v>0.39444444444444438</v>
      </c>
      <c r="G35" s="40">
        <f t="shared" ca="1" si="8"/>
        <v>1.388888888888884E-3</v>
      </c>
      <c r="H35" t="str">
        <f t="shared" ca="1" si="2"/>
        <v/>
      </c>
      <c r="I35" s="40" t="str">
        <f t="shared" ca="1" si="3"/>
        <v/>
      </c>
      <c r="J35" s="40">
        <f ca="1">IF(ISTEXT($F35),"",MAX($P$19:P34,$F35))</f>
        <v>0.39583333333333326</v>
      </c>
      <c r="K35" s="40">
        <f ca="1">IF(ISTEXT($F35),"",MAX($R$19:R34,$F35))</f>
        <v>0.39583333333333326</v>
      </c>
      <c r="L35" s="40">
        <f t="shared" ca="1" si="9"/>
        <v>0.39930555555555547</v>
      </c>
      <c r="M35" s="40">
        <f t="shared" ca="1" si="10"/>
        <v>0.39583333333333326</v>
      </c>
      <c r="N35">
        <f t="shared" ca="1" si="11"/>
        <v>1</v>
      </c>
      <c r="O35" s="40">
        <f t="shared" ca="1" si="12"/>
        <v>0.39583333333333326</v>
      </c>
      <c r="P35" s="40">
        <f t="shared" ca="1" si="13"/>
        <v>0.40277777777777768</v>
      </c>
      <c r="Q35" s="40" t="str">
        <f t="shared" ca="1" si="14"/>
        <v/>
      </c>
      <c r="R35" s="40">
        <f t="shared" ca="1" si="15"/>
        <v>0.39583333333333326</v>
      </c>
      <c r="S35" s="40" t="str">
        <f t="shared" ca="1" si="16"/>
        <v/>
      </c>
      <c r="T35" s="40">
        <f t="shared" ca="1" si="17"/>
        <v>0.39930555555555547</v>
      </c>
      <c r="U35" s="40" t="str">
        <f t="shared" ca="1" si="18"/>
        <v/>
      </c>
      <c r="V35" s="40">
        <f t="shared" ca="1" si="19"/>
        <v>0.39583333333333326</v>
      </c>
      <c r="W35" s="40">
        <f t="shared" ca="1" si="20"/>
        <v>8.3333333333333037E-3</v>
      </c>
      <c r="X35" s="40">
        <f t="shared" ca="1" si="21"/>
        <v>8.333333333333328E-3</v>
      </c>
      <c r="Y35" s="40">
        <f t="shared" ca="1" si="22"/>
        <v>0.40277777777777768</v>
      </c>
      <c r="Z35">
        <f ca="1">COUNTIF($M$19:$M34,"&gt;"&amp;$F35)</f>
        <v>2</v>
      </c>
    </row>
    <row r="36" spans="1:26" x14ac:dyDescent="0.3">
      <c r="A36">
        <f t="shared" ca="1" si="4"/>
        <v>17</v>
      </c>
      <c r="B36">
        <f t="shared" ca="1" si="5"/>
        <v>1</v>
      </c>
      <c r="C36" s="40">
        <f t="shared" ca="1" si="6"/>
        <v>6.9444444444444447E-4</v>
      </c>
      <c r="D36">
        <f t="shared" ca="1" si="0"/>
        <v>5</v>
      </c>
      <c r="E36" s="40">
        <f t="shared" ca="1" si="7"/>
        <v>3.472222222222222E-3</v>
      </c>
      <c r="F36" s="40">
        <f t="shared" ca="1" si="1"/>
        <v>0.39513888888888882</v>
      </c>
      <c r="G36" s="40">
        <f t="shared" ca="1" si="8"/>
        <v>6.9444444444444198E-4</v>
      </c>
      <c r="H36" t="str">
        <f t="shared" ca="1" si="2"/>
        <v/>
      </c>
      <c r="I36" s="40" t="str">
        <f t="shared" ca="1" si="3"/>
        <v/>
      </c>
      <c r="J36" s="40">
        <f ca="1">IF(ISTEXT($F36),"",MAX($P$19:P35,$F36))</f>
        <v>0.40277777777777768</v>
      </c>
      <c r="K36" s="40">
        <f ca="1">IF(ISTEXT($F36),"",MAX($R$19:R35,$F36))</f>
        <v>0.39583333333333326</v>
      </c>
      <c r="L36" s="40">
        <f t="shared" ca="1" si="9"/>
        <v>0.39930555555555547</v>
      </c>
      <c r="M36" s="40">
        <f t="shared" ca="1" si="10"/>
        <v>0.39583333333333326</v>
      </c>
      <c r="N36">
        <f t="shared" ca="1" si="11"/>
        <v>2</v>
      </c>
      <c r="O36" s="40" t="str">
        <f t="shared" ca="1" si="12"/>
        <v/>
      </c>
      <c r="P36" s="40">
        <f t="shared" ca="1" si="13"/>
        <v>0.40277777777777768</v>
      </c>
      <c r="Q36" s="40">
        <f t="shared" ca="1" si="14"/>
        <v>0.39583333333333326</v>
      </c>
      <c r="R36" s="40">
        <f t="shared" ca="1" si="15"/>
        <v>0.39930555555555547</v>
      </c>
      <c r="S36" s="40" t="str">
        <f t="shared" ca="1" si="16"/>
        <v/>
      </c>
      <c r="T36" s="40">
        <f t="shared" ca="1" si="17"/>
        <v>0.39930555555555547</v>
      </c>
      <c r="U36" s="40" t="str">
        <f t="shared" ca="1" si="18"/>
        <v/>
      </c>
      <c r="V36" s="40">
        <f t="shared" ca="1" si="19"/>
        <v>0.39583333333333326</v>
      </c>
      <c r="W36" s="40">
        <f t="shared" ca="1" si="20"/>
        <v>4.1666666666666519E-3</v>
      </c>
      <c r="X36" s="40">
        <f t="shared" ca="1" si="21"/>
        <v>4.166666666666664E-3</v>
      </c>
      <c r="Y36" s="40">
        <f t="shared" ca="1" si="22"/>
        <v>0.39930555555555547</v>
      </c>
      <c r="Z36">
        <f ca="1">COUNTIF($M$19:$M35,"&gt;"&amp;$F36)</f>
        <v>1</v>
      </c>
    </row>
    <row r="37" spans="1:26" x14ac:dyDescent="0.3">
      <c r="A37">
        <f t="shared" ca="1" si="4"/>
        <v>18</v>
      </c>
      <c r="B37">
        <f t="shared" ca="1" si="5"/>
        <v>1</v>
      </c>
      <c r="C37" s="40">
        <f t="shared" ca="1" si="6"/>
        <v>6.9444444444444447E-4</v>
      </c>
      <c r="D37">
        <f t="shared" ca="1" si="0"/>
        <v>10</v>
      </c>
      <c r="E37" s="40">
        <f t="shared" ca="1" si="7"/>
        <v>6.9444444444444441E-3</v>
      </c>
      <c r="F37" s="40">
        <f t="shared" ca="1" si="1"/>
        <v>0.39583333333333326</v>
      </c>
      <c r="G37" s="40">
        <f t="shared" ca="1" si="8"/>
        <v>3.4722222222222099E-3</v>
      </c>
      <c r="H37" t="str">
        <f t="shared" ca="1" si="2"/>
        <v>ушёл</v>
      </c>
      <c r="I37" s="40">
        <f t="shared" ca="1" si="3"/>
        <v>0.39861111111111103</v>
      </c>
      <c r="J37" s="40">
        <f ca="1">IF(ISTEXT($F37),"",MAX($P$19:P36,$F37))</f>
        <v>0.40277777777777768</v>
      </c>
      <c r="K37" s="40">
        <f ca="1">IF(ISTEXT($F37),"",MAX($R$19:R36,$F37))</f>
        <v>0.39930555555555547</v>
      </c>
      <c r="L37" s="40">
        <f t="shared" ca="1" si="9"/>
        <v>0.39930555555555547</v>
      </c>
      <c r="M37" s="40">
        <f t="shared" ca="1" si="10"/>
        <v>0.39930555555555547</v>
      </c>
      <c r="N37" t="str">
        <f t="shared" ca="1" si="11"/>
        <v/>
      </c>
      <c r="O37" s="40" t="str">
        <f t="shared" ca="1" si="12"/>
        <v/>
      </c>
      <c r="P37" s="40">
        <f t="shared" ca="1" si="13"/>
        <v>0.40277777777777768</v>
      </c>
      <c r="Q37" s="40" t="str">
        <f t="shared" ca="1" si="14"/>
        <v/>
      </c>
      <c r="R37" s="40">
        <f t="shared" ca="1" si="15"/>
        <v>0.39930555555555547</v>
      </c>
      <c r="S37" s="40" t="str">
        <f t="shared" ca="1" si="16"/>
        <v/>
      </c>
      <c r="T37" s="40">
        <f t="shared" ca="1" si="17"/>
        <v>0.39930555555555547</v>
      </c>
      <c r="U37" s="40">
        <f t="shared" ca="1" si="18"/>
        <v>2.7777777777777679E-3</v>
      </c>
      <c r="V37" s="40">
        <f t="shared" ca="1" si="19"/>
        <v>0.39930555555555547</v>
      </c>
      <c r="W37" s="40">
        <f t="shared" ca="1" si="20"/>
        <v>2.7777777777777679E-3</v>
      </c>
      <c r="X37" s="40">
        <f t="shared" ca="1" si="21"/>
        <v>2.7777777777777679E-3</v>
      </c>
      <c r="Y37" s="40">
        <f t="shared" ca="1" si="22"/>
        <v>0.39861111111111103</v>
      </c>
      <c r="Z37">
        <f ca="1">COUNTIF($M$19:$M36,"&gt;"&amp;$F37)</f>
        <v>0</v>
      </c>
    </row>
    <row r="38" spans="1:26" x14ac:dyDescent="0.3">
      <c r="A38">
        <f t="shared" ca="1" si="4"/>
        <v>19</v>
      </c>
      <c r="B38">
        <f t="shared" ca="1" si="5"/>
        <v>1</v>
      </c>
      <c r="C38" s="40">
        <f t="shared" ca="1" si="6"/>
        <v>6.9444444444444447E-4</v>
      </c>
      <c r="D38">
        <f t="shared" ca="1" si="0"/>
        <v>5</v>
      </c>
      <c r="E38" s="40">
        <f t="shared" ca="1" si="7"/>
        <v>3.472222222222222E-3</v>
      </c>
      <c r="F38" s="40">
        <f t="shared" ca="1" si="1"/>
        <v>0.3965277777777777</v>
      </c>
      <c r="G38" s="40">
        <f t="shared" ca="1" si="8"/>
        <v>2.7777777777777679E-3</v>
      </c>
      <c r="H38" t="str">
        <f t="shared" ca="1" si="2"/>
        <v/>
      </c>
      <c r="I38" s="40" t="str">
        <f t="shared" ca="1" si="3"/>
        <v/>
      </c>
      <c r="J38" s="40">
        <f ca="1">IF(ISTEXT($F38),"",MAX($P$19:P37,$F38))</f>
        <v>0.40277777777777768</v>
      </c>
      <c r="K38" s="40">
        <f ca="1">IF(ISTEXT($F38),"",MAX($R$19:R37,$F38))</f>
        <v>0.39930555555555547</v>
      </c>
      <c r="L38" s="40">
        <f t="shared" ca="1" si="9"/>
        <v>0.39930555555555547</v>
      </c>
      <c r="M38" s="40">
        <f t="shared" ca="1" si="10"/>
        <v>0.39930555555555547</v>
      </c>
      <c r="N38">
        <f t="shared" ca="1" si="11"/>
        <v>2</v>
      </c>
      <c r="O38" s="40" t="str">
        <f t="shared" ca="1" si="12"/>
        <v/>
      </c>
      <c r="P38" s="40">
        <f t="shared" ca="1" si="13"/>
        <v>0.40277777777777768</v>
      </c>
      <c r="Q38" s="40">
        <f t="shared" ca="1" si="14"/>
        <v>0.39930555555555547</v>
      </c>
      <c r="R38" s="40">
        <f t="shared" ca="1" si="15"/>
        <v>0.40277777777777768</v>
      </c>
      <c r="S38" s="40" t="str">
        <f t="shared" ca="1" si="16"/>
        <v/>
      </c>
      <c r="T38" s="40">
        <f t="shared" ca="1" si="17"/>
        <v>0.39930555555555547</v>
      </c>
      <c r="U38" s="40" t="str">
        <f t="shared" ca="1" si="18"/>
        <v/>
      </c>
      <c r="V38" s="40">
        <f t="shared" ca="1" si="19"/>
        <v>0.39930555555555547</v>
      </c>
      <c r="W38" s="40">
        <f t="shared" ca="1" si="20"/>
        <v>6.2499999999999778E-3</v>
      </c>
      <c r="X38" s="40">
        <f t="shared" ca="1" si="21"/>
        <v>6.2499999999999899E-3</v>
      </c>
      <c r="Y38" s="40">
        <f t="shared" ca="1" si="22"/>
        <v>0.40277777777777768</v>
      </c>
      <c r="Z38">
        <f ca="1">COUNTIF($M$19:$M37,"&gt;"&amp;$F38)</f>
        <v>1</v>
      </c>
    </row>
    <row r="39" spans="1:26" x14ac:dyDescent="0.3">
      <c r="A39">
        <f t="shared" ca="1" si="4"/>
        <v>20</v>
      </c>
      <c r="B39">
        <f t="shared" ca="1" si="5"/>
        <v>2</v>
      </c>
      <c r="C39" s="40">
        <f t="shared" ca="1" si="6"/>
        <v>1.3888888888888889E-3</v>
      </c>
      <c r="D39">
        <f t="shared" ca="1" si="0"/>
        <v>3</v>
      </c>
      <c r="E39" s="40">
        <f t="shared" ca="1" si="7"/>
        <v>2.0833333333333333E-3</v>
      </c>
      <c r="F39" s="40">
        <f t="shared" ca="1" si="1"/>
        <v>0.39791666666666659</v>
      </c>
      <c r="G39" s="40">
        <f t="shared" ca="1" si="8"/>
        <v>1.388888888888884E-3</v>
      </c>
      <c r="H39" t="str">
        <f t="shared" ca="1" si="2"/>
        <v/>
      </c>
      <c r="I39" s="40" t="str">
        <f t="shared" ca="1" si="3"/>
        <v/>
      </c>
      <c r="J39" s="40">
        <f ca="1">IF(ISTEXT($F39),"",MAX($P$19:P38,$F39))</f>
        <v>0.40277777777777768</v>
      </c>
      <c r="K39" s="40">
        <f ca="1">IF(ISTEXT($F39),"",MAX($R$19:R38,$F39))</f>
        <v>0.40277777777777768</v>
      </c>
      <c r="L39" s="40">
        <f t="shared" ca="1" si="9"/>
        <v>0.39930555555555547</v>
      </c>
      <c r="M39" s="40">
        <f t="shared" ca="1" si="10"/>
        <v>0.39930555555555547</v>
      </c>
      <c r="N39">
        <f t="shared" ca="1" si="11"/>
        <v>3</v>
      </c>
      <c r="O39" s="40" t="str">
        <f t="shared" ca="1" si="12"/>
        <v/>
      </c>
      <c r="P39" s="40">
        <f t="shared" ca="1" si="13"/>
        <v>0.40277777777777768</v>
      </c>
      <c r="Q39" s="40" t="str">
        <f t="shared" ca="1" si="14"/>
        <v/>
      </c>
      <c r="R39" s="40">
        <f t="shared" ca="1" si="15"/>
        <v>0.40277777777777768</v>
      </c>
      <c r="S39" s="40">
        <f t="shared" ca="1" si="16"/>
        <v>0.39930555555555547</v>
      </c>
      <c r="T39" s="40">
        <f t="shared" ca="1" si="17"/>
        <v>0.4013888888888888</v>
      </c>
      <c r="U39" s="40" t="str">
        <f t="shared" ca="1" si="18"/>
        <v/>
      </c>
      <c r="V39" s="40">
        <f t="shared" ca="1" si="19"/>
        <v>0.39930555555555547</v>
      </c>
      <c r="W39" s="40">
        <f t="shared" ca="1" si="20"/>
        <v>3.4722222222222099E-3</v>
      </c>
      <c r="X39" s="40">
        <f t="shared" ca="1" si="21"/>
        <v>3.4722222222222173E-3</v>
      </c>
      <c r="Y39" s="40">
        <f t="shared" ca="1" si="22"/>
        <v>0.4013888888888888</v>
      </c>
      <c r="Z39">
        <f ca="1">COUNTIF($M$19:$M38,"&gt;"&amp;$F39)</f>
        <v>2</v>
      </c>
    </row>
    <row r="40" spans="1:26" x14ac:dyDescent="0.3">
      <c r="A40">
        <f t="shared" ca="1" si="4"/>
        <v>21</v>
      </c>
      <c r="B40">
        <f t="shared" ca="1" si="5"/>
        <v>2</v>
      </c>
      <c r="C40" s="40">
        <f t="shared" ca="1" si="6"/>
        <v>1.3888888888888889E-3</v>
      </c>
      <c r="D40">
        <f t="shared" ca="1" si="0"/>
        <v>10</v>
      </c>
      <c r="E40" s="40">
        <f t="shared" ca="1" si="7"/>
        <v>6.9444444444444441E-3</v>
      </c>
      <c r="F40" s="40">
        <f t="shared" ca="1" si="1"/>
        <v>0.39930555555555547</v>
      </c>
      <c r="G40" s="40">
        <f t="shared" ca="1" si="8"/>
        <v>2.0833333333333259E-3</v>
      </c>
      <c r="H40" t="str">
        <f t="shared" ca="1" si="2"/>
        <v/>
      </c>
      <c r="I40" s="40" t="str">
        <f t="shared" ca="1" si="3"/>
        <v/>
      </c>
      <c r="J40" s="40">
        <f ca="1">IF(ISTEXT($F40),"",MAX($P$19:P39,$F40))</f>
        <v>0.40277777777777768</v>
      </c>
      <c r="K40" s="40">
        <f ca="1">IF(ISTEXT($F40),"",MAX($R$19:R39,$F40))</f>
        <v>0.40277777777777768</v>
      </c>
      <c r="L40" s="40">
        <f t="shared" ca="1" si="9"/>
        <v>0.4013888888888888</v>
      </c>
      <c r="M40" s="40">
        <f t="shared" ca="1" si="10"/>
        <v>0.4013888888888888</v>
      </c>
      <c r="N40">
        <f t="shared" ca="1" si="11"/>
        <v>3</v>
      </c>
      <c r="O40" s="40" t="str">
        <f t="shared" ca="1" si="12"/>
        <v/>
      </c>
      <c r="P40" s="40">
        <f t="shared" ca="1" si="13"/>
        <v>0.40277777777777768</v>
      </c>
      <c r="Q40" s="40" t="str">
        <f t="shared" ca="1" si="14"/>
        <v/>
      </c>
      <c r="R40" s="40">
        <f t="shared" ca="1" si="15"/>
        <v>0.40277777777777768</v>
      </c>
      <c r="S40" s="40">
        <f t="shared" ca="1" si="16"/>
        <v>0.4013888888888888</v>
      </c>
      <c r="T40" s="40">
        <f t="shared" ca="1" si="17"/>
        <v>0.40833333333333321</v>
      </c>
      <c r="U40" s="40" t="str">
        <f t="shared" ca="1" si="18"/>
        <v/>
      </c>
      <c r="V40" s="40">
        <f t="shared" ca="1" si="19"/>
        <v>0.4013888888888888</v>
      </c>
      <c r="W40" s="40">
        <f t="shared" ca="1" si="20"/>
        <v>9.0277777777777457E-3</v>
      </c>
      <c r="X40" s="40">
        <f t="shared" ca="1" si="21"/>
        <v>9.02777777777777E-3</v>
      </c>
      <c r="Y40" s="40">
        <f t="shared" ca="1" si="22"/>
        <v>0.40833333333333321</v>
      </c>
      <c r="Z40">
        <f ca="1">COUNTIF($M$19:$M39,"&gt;"&amp;$F40)</f>
        <v>0</v>
      </c>
    </row>
    <row r="41" spans="1:26" x14ac:dyDescent="0.3">
      <c r="A41">
        <f t="shared" ca="1" si="4"/>
        <v>22</v>
      </c>
      <c r="B41">
        <f t="shared" ca="1" si="5"/>
        <v>1</v>
      </c>
      <c r="C41" s="40">
        <f t="shared" ca="1" si="6"/>
        <v>6.9444444444444447E-4</v>
      </c>
      <c r="D41">
        <f t="shared" ca="1" si="0"/>
        <v>10</v>
      </c>
      <c r="E41" s="40">
        <f t="shared" ca="1" si="7"/>
        <v>6.9444444444444441E-3</v>
      </c>
      <c r="F41" s="40">
        <f t="shared" ca="1" si="1"/>
        <v>0.39999999999999991</v>
      </c>
      <c r="G41" s="40">
        <f t="shared" ca="1" si="8"/>
        <v>2.7777777777777679E-3</v>
      </c>
      <c r="H41" t="str">
        <f t="shared" ca="1" si="2"/>
        <v/>
      </c>
      <c r="I41" s="40" t="str">
        <f t="shared" ca="1" si="3"/>
        <v/>
      </c>
      <c r="J41" s="40">
        <f ca="1">IF(ISTEXT($F41),"",MAX($P$19:P40,$F41))</f>
        <v>0.40277777777777768</v>
      </c>
      <c r="K41" s="40">
        <f ca="1">IF(ISTEXT($F41),"",MAX($R$19:R40,$F41))</f>
        <v>0.40277777777777768</v>
      </c>
      <c r="L41" s="40">
        <f t="shared" ca="1" si="9"/>
        <v>0.40833333333333321</v>
      </c>
      <c r="M41" s="40">
        <f t="shared" ca="1" si="10"/>
        <v>0.40277777777777768</v>
      </c>
      <c r="N41">
        <f t="shared" ca="1" si="11"/>
        <v>1</v>
      </c>
      <c r="O41" s="40">
        <f t="shared" ca="1" si="12"/>
        <v>0.40277777777777768</v>
      </c>
      <c r="P41" s="40">
        <f t="shared" ca="1" si="13"/>
        <v>0.4097222222222221</v>
      </c>
      <c r="Q41" s="40" t="str">
        <f t="shared" ca="1" si="14"/>
        <v/>
      </c>
      <c r="R41" s="40">
        <f t="shared" ca="1" si="15"/>
        <v>0.40277777777777768</v>
      </c>
      <c r="S41" s="40" t="str">
        <f t="shared" ca="1" si="16"/>
        <v/>
      </c>
      <c r="T41" s="40">
        <f t="shared" ca="1" si="17"/>
        <v>0.40833333333333321</v>
      </c>
      <c r="U41" s="40" t="str">
        <f t="shared" ca="1" si="18"/>
        <v/>
      </c>
      <c r="V41" s="40">
        <f t="shared" ca="1" si="19"/>
        <v>0.40277777777777768</v>
      </c>
      <c r="W41" s="40">
        <f t="shared" ca="1" si="20"/>
        <v>9.7222222222221877E-3</v>
      </c>
      <c r="X41" s="40">
        <f t="shared" ca="1" si="21"/>
        <v>9.722222222222212E-3</v>
      </c>
      <c r="Y41" s="40">
        <f t="shared" ca="1" si="22"/>
        <v>0.4097222222222221</v>
      </c>
      <c r="Z41">
        <f ca="1">COUNTIF($M$19:$M40,"&gt;"&amp;$F41)</f>
        <v>1</v>
      </c>
    </row>
    <row r="42" spans="1:26" x14ac:dyDescent="0.3">
      <c r="A42">
        <f t="shared" ca="1" si="4"/>
        <v>23</v>
      </c>
      <c r="B42">
        <f t="shared" ca="1" si="5"/>
        <v>1</v>
      </c>
      <c r="C42" s="40">
        <f t="shared" ca="1" si="6"/>
        <v>6.9444444444444447E-4</v>
      </c>
      <c r="D42">
        <f t="shared" ca="1" si="0"/>
        <v>10</v>
      </c>
      <c r="E42" s="40">
        <f t="shared" ca="1" si="7"/>
        <v>6.9444444444444441E-3</v>
      </c>
      <c r="F42" s="40">
        <f t="shared" ca="1" si="1"/>
        <v>0.40069444444444435</v>
      </c>
      <c r="G42" s="40">
        <f t="shared" ca="1" si="8"/>
        <v>2.0833333333333259E-3</v>
      </c>
      <c r="H42" t="str">
        <f t="shared" ca="1" si="2"/>
        <v/>
      </c>
      <c r="I42" s="40" t="str">
        <f t="shared" ca="1" si="3"/>
        <v/>
      </c>
      <c r="J42" s="40">
        <f ca="1">IF(ISTEXT($F42),"",MAX($P$19:P41,$F42))</f>
        <v>0.4097222222222221</v>
      </c>
      <c r="K42" s="40">
        <f ca="1">IF(ISTEXT($F42),"",MAX($R$19:R41,$F42))</f>
        <v>0.40277777777777768</v>
      </c>
      <c r="L42" s="40">
        <f t="shared" ca="1" si="9"/>
        <v>0.40833333333333321</v>
      </c>
      <c r="M42" s="40">
        <f t="shared" ca="1" si="10"/>
        <v>0.40277777777777768</v>
      </c>
      <c r="N42">
        <f t="shared" ca="1" si="11"/>
        <v>2</v>
      </c>
      <c r="O42" s="40" t="str">
        <f t="shared" ca="1" si="12"/>
        <v/>
      </c>
      <c r="P42" s="40">
        <f t="shared" ca="1" si="13"/>
        <v>0.4097222222222221</v>
      </c>
      <c r="Q42" s="40">
        <f t="shared" ca="1" si="14"/>
        <v>0.40277777777777768</v>
      </c>
      <c r="R42" s="40">
        <f t="shared" ca="1" si="15"/>
        <v>0.4097222222222221</v>
      </c>
      <c r="S42" s="40" t="str">
        <f t="shared" ca="1" si="16"/>
        <v/>
      </c>
      <c r="T42" s="40">
        <f t="shared" ca="1" si="17"/>
        <v>0.40833333333333321</v>
      </c>
      <c r="U42" s="40" t="str">
        <f t="shared" ca="1" si="18"/>
        <v/>
      </c>
      <c r="V42" s="40">
        <f t="shared" ca="1" si="19"/>
        <v>0.40277777777777768</v>
      </c>
      <c r="W42" s="40">
        <f t="shared" ca="1" si="20"/>
        <v>9.0277777777777457E-3</v>
      </c>
      <c r="X42" s="40">
        <f t="shared" ca="1" si="21"/>
        <v>9.02777777777777E-3</v>
      </c>
      <c r="Y42" s="40">
        <f t="shared" ca="1" si="22"/>
        <v>0.4097222222222221</v>
      </c>
      <c r="Z42">
        <f ca="1">COUNTIF($M$19:$M41,"&gt;"&amp;$F42)</f>
        <v>2</v>
      </c>
    </row>
    <row r="43" spans="1:26" x14ac:dyDescent="0.3">
      <c r="A43">
        <f t="shared" ca="1" si="4"/>
        <v>24</v>
      </c>
      <c r="B43">
        <f t="shared" ca="1" si="5"/>
        <v>3</v>
      </c>
      <c r="C43" s="40">
        <f t="shared" ca="1" si="6"/>
        <v>2.0833333333333333E-3</v>
      </c>
      <c r="D43">
        <f t="shared" ca="1" si="0"/>
        <v>5</v>
      </c>
      <c r="E43" s="40">
        <f t="shared" ca="1" si="7"/>
        <v>3.472222222222222E-3</v>
      </c>
      <c r="F43" s="40">
        <f t="shared" ca="1" si="1"/>
        <v>0.40277777777777768</v>
      </c>
      <c r="G43" s="40">
        <f t="shared" ca="1" si="8"/>
        <v>5.5555555555555358E-3</v>
      </c>
      <c r="H43" t="str">
        <f t="shared" ca="1" si="2"/>
        <v>ушёл</v>
      </c>
      <c r="I43" s="40">
        <f t="shared" ca="1" si="3"/>
        <v>0.40555555555555545</v>
      </c>
      <c r="J43" s="40">
        <f ca="1">IF(ISTEXT($F43),"",MAX($P$19:P42,$F43))</f>
        <v>0.4097222222222221</v>
      </c>
      <c r="K43" s="40">
        <f ca="1">IF(ISTEXT($F43),"",MAX($R$19:R42,$F43))</f>
        <v>0.4097222222222221</v>
      </c>
      <c r="L43" s="40">
        <f t="shared" ca="1" si="9"/>
        <v>0.40833333333333321</v>
      </c>
      <c r="M43" s="40">
        <f t="shared" ca="1" si="10"/>
        <v>0.40833333333333321</v>
      </c>
      <c r="N43" t="str">
        <f t="shared" ca="1" si="11"/>
        <v/>
      </c>
      <c r="O43" s="40" t="str">
        <f t="shared" ca="1" si="12"/>
        <v/>
      </c>
      <c r="P43" s="40">
        <f t="shared" ca="1" si="13"/>
        <v>0.4097222222222221</v>
      </c>
      <c r="Q43" s="40" t="str">
        <f t="shared" ca="1" si="14"/>
        <v/>
      </c>
      <c r="R43" s="40">
        <f t="shared" ca="1" si="15"/>
        <v>0.4097222222222221</v>
      </c>
      <c r="S43" s="40" t="str">
        <f t="shared" ca="1" si="16"/>
        <v/>
      </c>
      <c r="T43" s="40">
        <f t="shared" ca="1" si="17"/>
        <v>0.40833333333333321</v>
      </c>
      <c r="U43" s="40">
        <f t="shared" ca="1" si="18"/>
        <v>2.7777777777777679E-3</v>
      </c>
      <c r="V43" s="40">
        <f t="shared" ca="1" si="19"/>
        <v>0.40833333333333321</v>
      </c>
      <c r="W43" s="40">
        <f t="shared" ca="1" si="20"/>
        <v>2.7777777777777679E-3</v>
      </c>
      <c r="X43" s="40">
        <f t="shared" ca="1" si="21"/>
        <v>2.7777777777777679E-3</v>
      </c>
      <c r="Y43" s="40">
        <f t="shared" ca="1" si="22"/>
        <v>0.40555555555555545</v>
      </c>
      <c r="Z43">
        <f ca="1">COUNTIF($M$19:$M42,"&gt;"&amp;$F43)</f>
        <v>0</v>
      </c>
    </row>
    <row r="44" spans="1:26" x14ac:dyDescent="0.3">
      <c r="A44">
        <f t="shared" ca="1" si="4"/>
        <v>25</v>
      </c>
      <c r="B44">
        <f t="shared" ca="1" si="5"/>
        <v>2</v>
      </c>
      <c r="C44" s="40">
        <f t="shared" ca="1" si="6"/>
        <v>1.3888888888888889E-3</v>
      </c>
      <c r="D44">
        <f t="shared" ca="1" si="0"/>
        <v>1</v>
      </c>
      <c r="E44" s="40">
        <f t="shared" ca="1" si="7"/>
        <v>6.9444444444444447E-4</v>
      </c>
      <c r="F44" s="40">
        <f t="shared" ca="1" si="1"/>
        <v>0.40416666666666656</v>
      </c>
      <c r="G44" s="40">
        <f t="shared" ca="1" si="8"/>
        <v>4.1666666666666519E-3</v>
      </c>
      <c r="H44" t="str">
        <f t="shared" ca="1" si="2"/>
        <v>ушёл</v>
      </c>
      <c r="I44" s="40">
        <f t="shared" ca="1" si="3"/>
        <v>0.40694444444444433</v>
      </c>
      <c r="J44" s="40">
        <f ca="1">IF(ISTEXT($F44),"",MAX($P$19:P43,$F44))</f>
        <v>0.4097222222222221</v>
      </c>
      <c r="K44" s="40">
        <f ca="1">IF(ISTEXT($F44),"",MAX($R$19:R43,$F44))</f>
        <v>0.4097222222222221</v>
      </c>
      <c r="L44" s="40">
        <f t="shared" ca="1" si="9"/>
        <v>0.40833333333333321</v>
      </c>
      <c r="M44" s="40">
        <f t="shared" ca="1" si="10"/>
        <v>0.40833333333333321</v>
      </c>
      <c r="N44" t="str">
        <f t="shared" ca="1" si="11"/>
        <v/>
      </c>
      <c r="O44" s="40" t="str">
        <f t="shared" ca="1" si="12"/>
        <v/>
      </c>
      <c r="P44" s="40">
        <f t="shared" ca="1" si="13"/>
        <v>0.4097222222222221</v>
      </c>
      <c r="Q44" s="40" t="str">
        <f t="shared" ca="1" si="14"/>
        <v/>
      </c>
      <c r="R44" s="40">
        <f t="shared" ca="1" si="15"/>
        <v>0.4097222222222221</v>
      </c>
      <c r="S44" s="40" t="str">
        <f t="shared" ca="1" si="16"/>
        <v/>
      </c>
      <c r="T44" s="40">
        <f t="shared" ca="1" si="17"/>
        <v>0.40833333333333321</v>
      </c>
      <c r="U44" s="40">
        <f t="shared" ca="1" si="18"/>
        <v>2.7777777777777679E-3</v>
      </c>
      <c r="V44" s="40">
        <f t="shared" ca="1" si="19"/>
        <v>0.40833333333333321</v>
      </c>
      <c r="W44" s="40">
        <f t="shared" ca="1" si="20"/>
        <v>2.7777777777777679E-3</v>
      </c>
      <c r="X44" s="40">
        <f t="shared" ca="1" si="21"/>
        <v>2.7777777777777679E-3</v>
      </c>
      <c r="Y44" s="40">
        <f t="shared" ca="1" si="22"/>
        <v>0.40694444444444433</v>
      </c>
      <c r="Z44">
        <f ca="1">COUNTIF($M$19:$M43,"&gt;"&amp;$F44)</f>
        <v>1</v>
      </c>
    </row>
    <row r="45" spans="1:26" x14ac:dyDescent="0.3">
      <c r="A45">
        <f t="shared" ca="1" si="4"/>
        <v>26</v>
      </c>
      <c r="B45">
        <f t="shared" ca="1" si="5"/>
        <v>2</v>
      </c>
      <c r="C45" s="40">
        <f t="shared" ca="1" si="6"/>
        <v>1.3888888888888889E-3</v>
      </c>
      <c r="D45">
        <f t="shared" ca="1" si="0"/>
        <v>3</v>
      </c>
      <c r="E45" s="40">
        <f t="shared" ca="1" si="7"/>
        <v>2.0833333333333333E-3</v>
      </c>
      <c r="F45" s="40">
        <f t="shared" ca="1" si="1"/>
        <v>0.40555555555555545</v>
      </c>
      <c r="G45" s="40">
        <f t="shared" ca="1" si="8"/>
        <v>2.7777777777777679E-3</v>
      </c>
      <c r="H45" t="str">
        <f t="shared" ca="1" si="2"/>
        <v/>
      </c>
      <c r="I45" s="40" t="str">
        <f t="shared" ca="1" si="3"/>
        <v/>
      </c>
      <c r="J45" s="40">
        <f ca="1">IF(ISTEXT($F45),"",MAX($P$19:P44,$F45))</f>
        <v>0.4097222222222221</v>
      </c>
      <c r="K45" s="40">
        <f ca="1">IF(ISTEXT($F45),"",MAX($R$19:R44,$F45))</f>
        <v>0.4097222222222221</v>
      </c>
      <c r="L45" s="40">
        <f t="shared" ca="1" si="9"/>
        <v>0.40833333333333321</v>
      </c>
      <c r="M45" s="40">
        <f t="shared" ca="1" si="10"/>
        <v>0.40833333333333321</v>
      </c>
      <c r="N45">
        <f t="shared" ca="1" si="11"/>
        <v>3</v>
      </c>
      <c r="O45" s="40" t="str">
        <f t="shared" ca="1" si="12"/>
        <v/>
      </c>
      <c r="P45" s="40">
        <f t="shared" ca="1" si="13"/>
        <v>0.4097222222222221</v>
      </c>
      <c r="Q45" s="40" t="str">
        <f t="shared" ca="1" si="14"/>
        <v/>
      </c>
      <c r="R45" s="40">
        <f t="shared" ca="1" si="15"/>
        <v>0.4097222222222221</v>
      </c>
      <c r="S45" s="40">
        <f t="shared" ca="1" si="16"/>
        <v>0.40833333333333321</v>
      </c>
      <c r="T45" s="40">
        <f t="shared" ca="1" si="17"/>
        <v>0.41041666666666654</v>
      </c>
      <c r="U45" s="40" t="str">
        <f t="shared" ca="1" si="18"/>
        <v/>
      </c>
      <c r="V45" s="40">
        <f t="shared" ca="1" si="19"/>
        <v>0.40833333333333321</v>
      </c>
      <c r="W45" s="40">
        <f t="shared" ca="1" si="20"/>
        <v>4.8611111111110938E-3</v>
      </c>
      <c r="X45" s="40">
        <f t="shared" ca="1" si="21"/>
        <v>4.8611111111111008E-3</v>
      </c>
      <c r="Y45" s="40">
        <f t="shared" ca="1" si="22"/>
        <v>0.41041666666666654</v>
      </c>
      <c r="Z45">
        <f ca="1">COUNTIF($M$19:$M44,"&gt;"&amp;$F45)</f>
        <v>2</v>
      </c>
    </row>
    <row r="46" spans="1:26" x14ac:dyDescent="0.3">
      <c r="A46">
        <f t="shared" ca="1" si="4"/>
        <v>27</v>
      </c>
      <c r="B46">
        <f t="shared" ca="1" si="5"/>
        <v>2</v>
      </c>
      <c r="C46" s="40">
        <f t="shared" ca="1" si="6"/>
        <v>1.3888888888888889E-3</v>
      </c>
      <c r="D46">
        <f t="shared" ca="1" si="0"/>
        <v>5</v>
      </c>
      <c r="E46" s="40">
        <f t="shared" ca="1" si="7"/>
        <v>3.472222222222222E-3</v>
      </c>
      <c r="F46" s="40">
        <f t="shared" ca="1" si="1"/>
        <v>0.40694444444444433</v>
      </c>
      <c r="G46" s="40">
        <f t="shared" ca="1" si="8"/>
        <v>2.7777777777777679E-3</v>
      </c>
      <c r="H46" t="str">
        <f t="shared" ca="1" si="2"/>
        <v/>
      </c>
      <c r="I46" s="40" t="str">
        <f t="shared" ca="1" si="3"/>
        <v/>
      </c>
      <c r="J46" s="40">
        <f ca="1">IF(ISTEXT($F46),"",MAX($P$19:P45,$F46))</f>
        <v>0.4097222222222221</v>
      </c>
      <c r="K46" s="40">
        <f ca="1">IF(ISTEXT($F46),"",MAX($R$19:R45,$F46))</f>
        <v>0.4097222222222221</v>
      </c>
      <c r="L46" s="40">
        <f t="shared" ca="1" si="9"/>
        <v>0.41041666666666654</v>
      </c>
      <c r="M46" s="40">
        <f t="shared" ca="1" si="10"/>
        <v>0.4097222222222221</v>
      </c>
      <c r="N46">
        <f t="shared" ca="1" si="11"/>
        <v>1</v>
      </c>
      <c r="O46" s="40">
        <f t="shared" ca="1" si="12"/>
        <v>0.4097222222222221</v>
      </c>
      <c r="P46" s="40">
        <f t="shared" ca="1" si="13"/>
        <v>0.41319444444444431</v>
      </c>
      <c r="Q46" s="40" t="str">
        <f t="shared" ca="1" si="14"/>
        <v/>
      </c>
      <c r="R46" s="40">
        <f t="shared" ca="1" si="15"/>
        <v>0.4097222222222221</v>
      </c>
      <c r="S46" s="40" t="str">
        <f t="shared" ca="1" si="16"/>
        <v/>
      </c>
      <c r="T46" s="40">
        <f t="shared" ca="1" si="17"/>
        <v>0.41041666666666654</v>
      </c>
      <c r="U46" s="40" t="str">
        <f t="shared" ca="1" si="18"/>
        <v/>
      </c>
      <c r="V46" s="40">
        <f t="shared" ca="1" si="19"/>
        <v>0.4097222222222221</v>
      </c>
      <c r="W46" s="40">
        <f t="shared" ca="1" si="20"/>
        <v>6.2499999999999778E-3</v>
      </c>
      <c r="X46" s="40">
        <f t="shared" ca="1" si="21"/>
        <v>6.2499999999999899E-3</v>
      </c>
      <c r="Y46" s="40">
        <f t="shared" ca="1" si="22"/>
        <v>0.41319444444444431</v>
      </c>
      <c r="Z46">
        <f ca="1">COUNTIF($M$19:$M45,"&gt;"&amp;$F46)</f>
        <v>3</v>
      </c>
    </row>
    <row r="47" spans="1:26" x14ac:dyDescent="0.3">
      <c r="A47">
        <f t="shared" ca="1" si="4"/>
        <v>28</v>
      </c>
      <c r="B47">
        <f t="shared" ca="1" si="5"/>
        <v>2</v>
      </c>
      <c r="C47" s="40">
        <f t="shared" ca="1" si="6"/>
        <v>1.3888888888888889E-3</v>
      </c>
      <c r="D47">
        <f t="shared" ca="1" si="0"/>
        <v>1</v>
      </c>
      <c r="E47" s="40">
        <f t="shared" ca="1" si="7"/>
        <v>6.9444444444444447E-4</v>
      </c>
      <c r="F47" s="40">
        <f t="shared" ca="1" si="1"/>
        <v>0.40833333333333321</v>
      </c>
      <c r="G47" s="40">
        <f t="shared" ca="1" si="8"/>
        <v>1.388888888888884E-3</v>
      </c>
      <c r="H47" t="str">
        <f t="shared" ca="1" si="2"/>
        <v/>
      </c>
      <c r="I47" s="40" t="str">
        <f t="shared" ca="1" si="3"/>
        <v/>
      </c>
      <c r="J47" s="40">
        <f ca="1">IF(ISTEXT($F47),"",MAX($P$19:P46,$F47))</f>
        <v>0.41319444444444431</v>
      </c>
      <c r="K47" s="40">
        <f ca="1">IF(ISTEXT($F47),"",MAX($R$19:R46,$F47))</f>
        <v>0.4097222222222221</v>
      </c>
      <c r="L47" s="40">
        <f t="shared" ca="1" si="9"/>
        <v>0.41041666666666654</v>
      </c>
      <c r="M47" s="40">
        <f t="shared" ca="1" si="10"/>
        <v>0.4097222222222221</v>
      </c>
      <c r="N47">
        <f t="shared" ca="1" si="11"/>
        <v>2</v>
      </c>
      <c r="O47" s="40" t="str">
        <f t="shared" ca="1" si="12"/>
        <v/>
      </c>
      <c r="P47" s="40">
        <f t="shared" ca="1" si="13"/>
        <v>0.41319444444444431</v>
      </c>
      <c r="Q47" s="40">
        <f t="shared" ca="1" si="14"/>
        <v>0.4097222222222221</v>
      </c>
      <c r="R47" s="40">
        <f t="shared" ca="1" si="15"/>
        <v>0.41041666666666654</v>
      </c>
      <c r="S47" s="40" t="str">
        <f t="shared" ca="1" si="16"/>
        <v/>
      </c>
      <c r="T47" s="40">
        <f t="shared" ca="1" si="17"/>
        <v>0.41041666666666654</v>
      </c>
      <c r="U47" s="40" t="str">
        <f t="shared" ca="1" si="18"/>
        <v/>
      </c>
      <c r="V47" s="40">
        <f t="shared" ca="1" si="19"/>
        <v>0.4097222222222221</v>
      </c>
      <c r="W47" s="40">
        <f t="shared" ca="1" si="20"/>
        <v>2.0833333333333259E-3</v>
      </c>
      <c r="X47" s="40">
        <f t="shared" ca="1" si="21"/>
        <v>2.0833333333333285E-3</v>
      </c>
      <c r="Y47" s="40">
        <f t="shared" ca="1" si="22"/>
        <v>0.41041666666666654</v>
      </c>
      <c r="Z47">
        <f ca="1">COUNTIF($M$19:$M46,"&gt;"&amp;$F47)</f>
        <v>1</v>
      </c>
    </row>
    <row r="48" spans="1:26" x14ac:dyDescent="0.3">
      <c r="A48">
        <f t="shared" ca="1" si="4"/>
        <v>29</v>
      </c>
      <c r="B48">
        <f t="shared" ca="1" si="5"/>
        <v>2</v>
      </c>
      <c r="C48" s="40">
        <f t="shared" ca="1" si="6"/>
        <v>1.3888888888888889E-3</v>
      </c>
      <c r="D48">
        <f t="shared" ca="1" si="0"/>
        <v>5</v>
      </c>
      <c r="E48" s="40">
        <f t="shared" ca="1" si="7"/>
        <v>3.472222222222222E-3</v>
      </c>
      <c r="F48" s="40">
        <f t="shared" ca="1" si="1"/>
        <v>0.4097222222222221</v>
      </c>
      <c r="G48" s="40">
        <f t="shared" ca="1" si="8"/>
        <v>6.9444444444444198E-4</v>
      </c>
      <c r="H48" t="str">
        <f t="shared" ca="1" si="2"/>
        <v/>
      </c>
      <c r="I48" s="40" t="str">
        <f t="shared" ca="1" si="3"/>
        <v/>
      </c>
      <c r="J48" s="40">
        <f ca="1">IF(ISTEXT($F48),"",MAX($P$19:P47,$F48))</f>
        <v>0.41319444444444431</v>
      </c>
      <c r="K48" s="40">
        <f ca="1">IF(ISTEXT($F48),"",MAX($R$19:R47,$F48))</f>
        <v>0.41041666666666654</v>
      </c>
      <c r="L48" s="40">
        <f t="shared" ca="1" si="9"/>
        <v>0.41041666666666654</v>
      </c>
      <c r="M48" s="40">
        <f t="shared" ca="1" si="10"/>
        <v>0.41041666666666654</v>
      </c>
      <c r="N48">
        <f t="shared" ca="1" si="11"/>
        <v>2</v>
      </c>
      <c r="O48" s="40" t="str">
        <f t="shared" ca="1" si="12"/>
        <v/>
      </c>
      <c r="P48" s="40">
        <f t="shared" ca="1" si="13"/>
        <v>0.41319444444444431</v>
      </c>
      <c r="Q48" s="40">
        <f t="shared" ca="1" si="14"/>
        <v>0.41041666666666654</v>
      </c>
      <c r="R48" s="40">
        <f t="shared" ca="1" si="15"/>
        <v>0.41388888888888875</v>
      </c>
      <c r="S48" s="40" t="str">
        <f t="shared" ca="1" si="16"/>
        <v/>
      </c>
      <c r="T48" s="40">
        <f t="shared" ca="1" si="17"/>
        <v>0.41041666666666654</v>
      </c>
      <c r="U48" s="40" t="str">
        <f t="shared" ca="1" si="18"/>
        <v/>
      </c>
      <c r="V48" s="40">
        <f t="shared" ca="1" si="19"/>
        <v>0.41041666666666654</v>
      </c>
      <c r="W48" s="40">
        <f t="shared" ca="1" si="20"/>
        <v>4.1666666666666519E-3</v>
      </c>
      <c r="X48" s="40">
        <f t="shared" ca="1" si="21"/>
        <v>4.166666666666664E-3</v>
      </c>
      <c r="Y48" s="40">
        <f t="shared" ca="1" si="22"/>
        <v>0.41388888888888875</v>
      </c>
      <c r="Z48">
        <f ca="1">COUNTIF($M$19:$M47,"&gt;"&amp;$F48)</f>
        <v>0</v>
      </c>
    </row>
    <row r="49" spans="1:26" x14ac:dyDescent="0.3">
      <c r="A49">
        <f t="shared" ca="1" si="4"/>
        <v>30</v>
      </c>
      <c r="B49">
        <f t="shared" ca="1" si="5"/>
        <v>3</v>
      </c>
      <c r="C49" s="40">
        <f t="shared" ca="1" si="6"/>
        <v>2.0833333333333333E-3</v>
      </c>
      <c r="D49">
        <f t="shared" ca="1" si="0"/>
        <v>10</v>
      </c>
      <c r="E49" s="40">
        <f t="shared" ca="1" si="7"/>
        <v>6.9444444444444441E-3</v>
      </c>
      <c r="F49" s="40">
        <f t="shared" ca="1" si="1"/>
        <v>0.41180555555555542</v>
      </c>
      <c r="G49" s="40">
        <f t="shared" ca="1" si="8"/>
        <v>0</v>
      </c>
      <c r="H49" t="str">
        <f t="shared" ca="1" si="2"/>
        <v/>
      </c>
      <c r="I49" s="40" t="str">
        <f t="shared" ca="1" si="3"/>
        <v/>
      </c>
      <c r="J49" s="40">
        <f ca="1">IF(ISTEXT($F49),"",MAX($P$19:P48,$F49))</f>
        <v>0.41319444444444431</v>
      </c>
      <c r="K49" s="40">
        <f ca="1">IF(ISTEXT($F49),"",MAX($R$19:R48,$F49))</f>
        <v>0.41388888888888875</v>
      </c>
      <c r="L49" s="40">
        <f t="shared" ca="1" si="9"/>
        <v>0.41180555555555542</v>
      </c>
      <c r="M49" s="40">
        <f t="shared" ca="1" si="10"/>
        <v>0.41180555555555542</v>
      </c>
      <c r="N49">
        <f t="shared" ca="1" si="11"/>
        <v>3</v>
      </c>
      <c r="O49" s="40" t="str">
        <f t="shared" ca="1" si="12"/>
        <v/>
      </c>
      <c r="P49" s="40">
        <f t="shared" ca="1" si="13"/>
        <v>0.41319444444444431</v>
      </c>
      <c r="Q49" s="40" t="str">
        <f t="shared" ca="1" si="14"/>
        <v/>
      </c>
      <c r="R49" s="40">
        <f t="shared" ca="1" si="15"/>
        <v>0.41388888888888875</v>
      </c>
      <c r="S49" s="40">
        <f t="shared" ca="1" si="16"/>
        <v>0.41180555555555542</v>
      </c>
      <c r="T49" s="40">
        <f t="shared" ca="1" si="17"/>
        <v>0.41874999999999984</v>
      </c>
      <c r="U49" s="40" t="str">
        <f t="shared" ca="1" si="18"/>
        <v/>
      </c>
      <c r="V49" s="40">
        <f t="shared" ca="1" si="19"/>
        <v>0.41180555555555542</v>
      </c>
      <c r="W49" s="40">
        <f t="shared" ca="1" si="20"/>
        <v>6.9444444444444198E-3</v>
      </c>
      <c r="X49" s="40">
        <f t="shared" ca="1" si="21"/>
        <v>6.9444444444444441E-3</v>
      </c>
      <c r="Y49" s="40">
        <f t="shared" ca="1" si="22"/>
        <v>0.41874999999999984</v>
      </c>
      <c r="Z49">
        <f ca="1">COUNTIF($M$19:$M48,"&gt;"&amp;$F49)</f>
        <v>0</v>
      </c>
    </row>
    <row r="50" spans="1:26" x14ac:dyDescent="0.3">
      <c r="A50">
        <f t="shared" ca="1" si="4"/>
        <v>31</v>
      </c>
      <c r="B50">
        <f t="shared" ca="1" si="5"/>
        <v>2</v>
      </c>
      <c r="C50" s="40">
        <f t="shared" ca="1" si="6"/>
        <v>1.3888888888888889E-3</v>
      </c>
      <c r="D50">
        <f t="shared" ca="1" si="0"/>
        <v>3</v>
      </c>
      <c r="E50" s="40">
        <f t="shared" ca="1" si="7"/>
        <v>2.0833333333333333E-3</v>
      </c>
      <c r="F50" s="40">
        <f t="shared" ca="1" si="1"/>
        <v>0.41319444444444431</v>
      </c>
      <c r="G50" s="40">
        <f t="shared" ca="1" si="8"/>
        <v>0</v>
      </c>
      <c r="H50" t="str">
        <f t="shared" ca="1" si="2"/>
        <v/>
      </c>
      <c r="I50" s="40" t="str">
        <f t="shared" ca="1" si="3"/>
        <v/>
      </c>
      <c r="J50" s="40">
        <f ca="1">IF(ISTEXT($F50),"",MAX($P$19:P49,$F50))</f>
        <v>0.41319444444444431</v>
      </c>
      <c r="K50" s="40">
        <f ca="1">IF(ISTEXT($F50),"",MAX($R$19:R49,$F50))</f>
        <v>0.41388888888888875</v>
      </c>
      <c r="L50" s="40">
        <f t="shared" ca="1" si="9"/>
        <v>0.41874999999999984</v>
      </c>
      <c r="M50" s="40">
        <f t="shared" ca="1" si="10"/>
        <v>0.41319444444444431</v>
      </c>
      <c r="N50">
        <f t="shared" ca="1" si="11"/>
        <v>1</v>
      </c>
      <c r="O50" s="40">
        <f t="shared" ca="1" si="12"/>
        <v>0.41319444444444431</v>
      </c>
      <c r="P50" s="40">
        <f t="shared" ca="1" si="13"/>
        <v>0.41527777777777763</v>
      </c>
      <c r="Q50" s="40" t="str">
        <f t="shared" ca="1" si="14"/>
        <v/>
      </c>
      <c r="R50" s="40">
        <f t="shared" ca="1" si="15"/>
        <v>0.41388888888888875</v>
      </c>
      <c r="S50" s="40" t="str">
        <f t="shared" ca="1" si="16"/>
        <v/>
      </c>
      <c r="T50" s="40">
        <f t="shared" ca="1" si="17"/>
        <v>0.41874999999999984</v>
      </c>
      <c r="U50" s="40" t="str">
        <f t="shared" ca="1" si="18"/>
        <v/>
      </c>
      <c r="V50" s="40">
        <f t="shared" ca="1" si="19"/>
        <v>0.41319444444444431</v>
      </c>
      <c r="W50" s="40">
        <f t="shared" ca="1" si="20"/>
        <v>2.0833333333333259E-3</v>
      </c>
      <c r="X50" s="40">
        <f t="shared" ca="1" si="21"/>
        <v>2.0833333333333333E-3</v>
      </c>
      <c r="Y50" s="40">
        <f t="shared" ca="1" si="22"/>
        <v>0.41527777777777763</v>
      </c>
      <c r="Z50">
        <f ca="1">COUNTIF($M$19:$M49,"&gt;"&amp;$F50)</f>
        <v>0</v>
      </c>
    </row>
    <row r="51" spans="1:26" x14ac:dyDescent="0.3">
      <c r="A51">
        <f t="shared" ca="1" si="4"/>
        <v>32</v>
      </c>
      <c r="B51">
        <f t="shared" ca="1" si="5"/>
        <v>2</v>
      </c>
      <c r="C51" s="40">
        <f t="shared" ca="1" si="6"/>
        <v>1.3888888888888889E-3</v>
      </c>
      <c r="D51">
        <f t="shared" ca="1" si="0"/>
        <v>5</v>
      </c>
      <c r="E51" s="40">
        <f t="shared" ca="1" si="7"/>
        <v>3.472222222222222E-3</v>
      </c>
      <c r="F51" s="40">
        <f t="shared" ca="1" si="1"/>
        <v>0.41458333333333319</v>
      </c>
      <c r="G51" s="40">
        <f t="shared" ca="1" si="8"/>
        <v>0</v>
      </c>
      <c r="H51" t="str">
        <f t="shared" ca="1" si="2"/>
        <v/>
      </c>
      <c r="I51" s="40" t="str">
        <f t="shared" ca="1" si="3"/>
        <v/>
      </c>
      <c r="J51" s="40">
        <f ca="1">IF(ISTEXT($F51),"",MAX($P$19:P50,$F51))</f>
        <v>0.41527777777777763</v>
      </c>
      <c r="K51" s="40">
        <f ca="1">IF(ISTEXT($F51),"",MAX($R$19:R50,$F51))</f>
        <v>0.41458333333333319</v>
      </c>
      <c r="L51" s="40">
        <f t="shared" ca="1" si="9"/>
        <v>0.41874999999999984</v>
      </c>
      <c r="M51" s="40">
        <f t="shared" ca="1" si="10"/>
        <v>0.41458333333333319</v>
      </c>
      <c r="N51">
        <f t="shared" ca="1" si="11"/>
        <v>2</v>
      </c>
      <c r="O51" s="40" t="str">
        <f t="shared" ca="1" si="12"/>
        <v/>
      </c>
      <c r="P51" s="40">
        <f t="shared" ca="1" si="13"/>
        <v>0.41527777777777763</v>
      </c>
      <c r="Q51" s="40">
        <f t="shared" ca="1" si="14"/>
        <v>0.41458333333333319</v>
      </c>
      <c r="R51" s="40">
        <f t="shared" ca="1" si="15"/>
        <v>0.4180555555555554</v>
      </c>
      <c r="S51" s="40" t="str">
        <f t="shared" ca="1" si="16"/>
        <v/>
      </c>
      <c r="T51" s="40">
        <f t="shared" ca="1" si="17"/>
        <v>0.41874999999999984</v>
      </c>
      <c r="U51" s="40" t="str">
        <f t="shared" ca="1" si="18"/>
        <v/>
      </c>
      <c r="V51" s="40">
        <f t="shared" ca="1" si="19"/>
        <v>0.41458333333333319</v>
      </c>
      <c r="W51" s="40">
        <f t="shared" ca="1" si="20"/>
        <v>3.4722222222222099E-3</v>
      </c>
      <c r="X51" s="40">
        <f t="shared" ca="1" si="21"/>
        <v>3.472222222222222E-3</v>
      </c>
      <c r="Y51" s="40">
        <f t="shared" ca="1" si="22"/>
        <v>0.4180555555555554</v>
      </c>
      <c r="Z51">
        <f ca="1">COUNTIF($M$19:$M50,"&gt;"&amp;$F51)</f>
        <v>0</v>
      </c>
    </row>
    <row r="52" spans="1:26" x14ac:dyDescent="0.3">
      <c r="A52">
        <f t="shared" ca="1" si="4"/>
        <v>33</v>
      </c>
      <c r="B52">
        <f t="shared" ca="1" si="5"/>
        <v>3</v>
      </c>
      <c r="C52" s="40">
        <f t="shared" ca="1" si="6"/>
        <v>2.0833333333333333E-3</v>
      </c>
      <c r="D52">
        <f t="shared" ref="D52:D115" ca="1" si="23">VLOOKUP(RAND(),SRVT,3)</f>
        <v>10</v>
      </c>
      <c r="E52" s="40">
        <f t="shared" ca="1" si="7"/>
        <v>6.9444444444444441E-3</v>
      </c>
      <c r="F52" s="40">
        <f t="shared" ref="F52:F69" ca="1" si="24">IF(ISTEXT(F51),"",IF(F51+C52&gt;=closed,"закрыто",F51+C52))</f>
        <v>0.41666666666666652</v>
      </c>
      <c r="G52" s="40">
        <f t="shared" ca="1" si="8"/>
        <v>0</v>
      </c>
      <c r="H52" t="str">
        <f t="shared" ref="H52:H69" ca="1" si="25">IF(G52&gt;(renegat/1440),"ушёл","")</f>
        <v/>
      </c>
      <c r="I52" s="40" t="str">
        <f t="shared" ref="I52:I69" ca="1" si="26">IF(H52="ушёл",F52+(renegat/1440),"")</f>
        <v/>
      </c>
      <c r="J52" s="40">
        <f ca="1">IF(ISTEXT($F52),"",MAX($P$19:P51,$F52))</f>
        <v>0.41666666666666652</v>
      </c>
      <c r="K52" s="40">
        <f ca="1">IF(ISTEXT($F52),"",MAX($R$19:R51,$F52))</f>
        <v>0.4180555555555554</v>
      </c>
      <c r="L52" s="40">
        <f t="shared" ca="1" si="9"/>
        <v>0.41874999999999984</v>
      </c>
      <c r="M52" s="40">
        <f t="shared" ca="1" si="10"/>
        <v>0.41666666666666652</v>
      </c>
      <c r="N52">
        <f t="shared" ca="1" si="11"/>
        <v>1</v>
      </c>
      <c r="O52" s="40">
        <f t="shared" ca="1" si="12"/>
        <v>0.41666666666666652</v>
      </c>
      <c r="P52" s="40">
        <f t="shared" ca="1" si="13"/>
        <v>0.42361111111111094</v>
      </c>
      <c r="Q52" s="40" t="str">
        <f t="shared" ca="1" si="14"/>
        <v/>
      </c>
      <c r="R52" s="40">
        <f t="shared" ca="1" si="15"/>
        <v>0.4180555555555554</v>
      </c>
      <c r="S52" s="40" t="str">
        <f t="shared" ca="1" si="16"/>
        <v/>
      </c>
      <c r="T52" s="40">
        <f t="shared" ca="1" si="17"/>
        <v>0.41874999999999984</v>
      </c>
      <c r="U52" s="40" t="str">
        <f t="shared" ca="1" si="18"/>
        <v/>
      </c>
      <c r="V52" s="40">
        <f t="shared" ca="1" si="19"/>
        <v>0.41666666666666652</v>
      </c>
      <c r="W52" s="40">
        <f t="shared" ca="1" si="20"/>
        <v>6.9444444444444198E-3</v>
      </c>
      <c r="X52" s="40">
        <f t="shared" ca="1" si="21"/>
        <v>6.9444444444444441E-3</v>
      </c>
      <c r="Y52" s="40">
        <f t="shared" ca="1" si="22"/>
        <v>0.42361111111111094</v>
      </c>
      <c r="Z52">
        <f ca="1">COUNTIF($M$19:$M51,"&gt;"&amp;$F52)</f>
        <v>0</v>
      </c>
    </row>
    <row r="53" spans="1:26" x14ac:dyDescent="0.3">
      <c r="A53">
        <f t="shared" ca="1" si="4"/>
        <v>34</v>
      </c>
      <c r="B53">
        <f t="shared" ca="1" si="5"/>
        <v>3</v>
      </c>
      <c r="C53" s="40">
        <f t="shared" ca="1" si="6"/>
        <v>2.0833333333333333E-3</v>
      </c>
      <c r="D53">
        <f t="shared" ca="1" si="23"/>
        <v>5</v>
      </c>
      <c r="E53" s="40">
        <f t="shared" ca="1" si="7"/>
        <v>3.472222222222222E-3</v>
      </c>
      <c r="F53" s="40">
        <f t="shared" ca="1" si="24"/>
        <v>0.41874999999999984</v>
      </c>
      <c r="G53" s="40">
        <f t="shared" ca="1" si="8"/>
        <v>0</v>
      </c>
      <c r="H53" t="str">
        <f t="shared" ca="1" si="25"/>
        <v/>
      </c>
      <c r="I53" s="40" t="str">
        <f t="shared" ca="1" si="26"/>
        <v/>
      </c>
      <c r="J53" s="40">
        <f ca="1">IF(ISTEXT($F53),"",MAX($P$19:P52,$F53))</f>
        <v>0.42361111111111094</v>
      </c>
      <c r="K53" s="40">
        <f ca="1">IF(ISTEXT($F53),"",MAX($R$19:R52,$F53))</f>
        <v>0.41874999999999984</v>
      </c>
      <c r="L53" s="40">
        <f t="shared" ca="1" si="9"/>
        <v>0.41874999999999984</v>
      </c>
      <c r="M53" s="40">
        <f t="shared" ca="1" si="10"/>
        <v>0.41874999999999984</v>
      </c>
      <c r="N53">
        <f t="shared" ca="1" si="11"/>
        <v>2</v>
      </c>
      <c r="O53" s="40" t="str">
        <f t="shared" ca="1" si="12"/>
        <v/>
      </c>
      <c r="P53" s="40">
        <f t="shared" ca="1" si="13"/>
        <v>0.42361111111111094</v>
      </c>
      <c r="Q53" s="40">
        <f t="shared" ca="1" si="14"/>
        <v>0.41874999999999984</v>
      </c>
      <c r="R53" s="40">
        <f t="shared" ca="1" si="15"/>
        <v>0.42222222222222205</v>
      </c>
      <c r="S53" s="40" t="str">
        <f t="shared" ca="1" si="16"/>
        <v/>
      </c>
      <c r="T53" s="40">
        <f t="shared" ca="1" si="17"/>
        <v>0.41874999999999984</v>
      </c>
      <c r="U53" s="40" t="str">
        <f t="shared" ca="1" si="18"/>
        <v/>
      </c>
      <c r="V53" s="40">
        <f t="shared" ca="1" si="19"/>
        <v>0.41874999999999984</v>
      </c>
      <c r="W53" s="40">
        <f t="shared" ca="1" si="20"/>
        <v>3.4722222222222099E-3</v>
      </c>
      <c r="X53" s="40">
        <f t="shared" ca="1" si="21"/>
        <v>3.472222222222222E-3</v>
      </c>
      <c r="Y53" s="40">
        <f t="shared" ca="1" si="22"/>
        <v>0.42222222222222205</v>
      </c>
      <c r="Z53">
        <f ca="1">COUNTIF($M$19:$M52,"&gt;"&amp;$F53)</f>
        <v>0</v>
      </c>
    </row>
    <row r="54" spans="1:26" x14ac:dyDescent="0.3">
      <c r="A54">
        <f t="shared" ca="1" si="4"/>
        <v>35</v>
      </c>
      <c r="B54">
        <f t="shared" ca="1" si="5"/>
        <v>2</v>
      </c>
      <c r="C54" s="40">
        <f t="shared" ca="1" si="6"/>
        <v>1.3888888888888889E-3</v>
      </c>
      <c r="D54">
        <f t="shared" ca="1" si="23"/>
        <v>3</v>
      </c>
      <c r="E54" s="40">
        <f t="shared" ca="1" si="7"/>
        <v>2.0833333333333333E-3</v>
      </c>
      <c r="F54" s="40">
        <f t="shared" ca="1" si="24"/>
        <v>0.42013888888888873</v>
      </c>
      <c r="G54" s="40">
        <f t="shared" ca="1" si="8"/>
        <v>0</v>
      </c>
      <c r="H54" t="str">
        <f t="shared" ca="1" si="25"/>
        <v/>
      </c>
      <c r="I54" s="40" t="str">
        <f t="shared" ca="1" si="26"/>
        <v/>
      </c>
      <c r="J54" s="40">
        <f ca="1">IF(ISTEXT($F54),"",MAX($P$19:P53,$F54))</f>
        <v>0.42361111111111094</v>
      </c>
      <c r="K54" s="40">
        <f ca="1">IF(ISTEXT($F54),"",MAX($R$19:R53,$F54))</f>
        <v>0.42222222222222205</v>
      </c>
      <c r="L54" s="40">
        <f t="shared" ca="1" si="9"/>
        <v>0.42013888888888873</v>
      </c>
      <c r="M54" s="40">
        <f t="shared" ca="1" si="10"/>
        <v>0.42013888888888873</v>
      </c>
      <c r="N54">
        <f t="shared" ca="1" si="11"/>
        <v>3</v>
      </c>
      <c r="O54" s="40" t="str">
        <f t="shared" ca="1" si="12"/>
        <v/>
      </c>
      <c r="P54" s="40">
        <f t="shared" ca="1" si="13"/>
        <v>0.42361111111111094</v>
      </c>
      <c r="Q54" s="40" t="str">
        <f t="shared" ca="1" si="14"/>
        <v/>
      </c>
      <c r="R54" s="40">
        <f t="shared" ca="1" si="15"/>
        <v>0.42222222222222205</v>
      </c>
      <c r="S54" s="40">
        <f t="shared" ca="1" si="16"/>
        <v>0.42013888888888873</v>
      </c>
      <c r="T54" s="40">
        <f t="shared" ca="1" si="17"/>
        <v>0.42222222222222205</v>
      </c>
      <c r="U54" s="40" t="str">
        <f t="shared" ca="1" si="18"/>
        <v/>
      </c>
      <c r="V54" s="40">
        <f t="shared" ca="1" si="19"/>
        <v>0.42013888888888873</v>
      </c>
      <c r="W54" s="40">
        <f t="shared" ca="1" si="20"/>
        <v>2.0833333333333259E-3</v>
      </c>
      <c r="X54" s="40">
        <f t="shared" ca="1" si="21"/>
        <v>2.0833333333333333E-3</v>
      </c>
      <c r="Y54" s="40">
        <f t="shared" ca="1" si="22"/>
        <v>0.42222222222222205</v>
      </c>
      <c r="Z54">
        <f ca="1">COUNTIF($M$19:$M53,"&gt;"&amp;$F54)</f>
        <v>0</v>
      </c>
    </row>
    <row r="55" spans="1:26" x14ac:dyDescent="0.3">
      <c r="A55">
        <f t="shared" ca="1" si="4"/>
        <v>36</v>
      </c>
      <c r="B55">
        <f t="shared" ca="1" si="5"/>
        <v>2</v>
      </c>
      <c r="C55" s="40">
        <f t="shared" ca="1" si="6"/>
        <v>1.3888888888888889E-3</v>
      </c>
      <c r="D55">
        <f t="shared" ca="1" si="23"/>
        <v>10</v>
      </c>
      <c r="E55" s="40">
        <f t="shared" ca="1" si="7"/>
        <v>6.9444444444444441E-3</v>
      </c>
      <c r="F55" s="40">
        <f t="shared" ca="1" si="24"/>
        <v>0.42152777777777761</v>
      </c>
      <c r="G55" s="40">
        <f t="shared" ca="1" si="8"/>
        <v>6.9444444444444198E-4</v>
      </c>
      <c r="H55" t="str">
        <f t="shared" ca="1" si="25"/>
        <v/>
      </c>
      <c r="I55" s="40" t="str">
        <f t="shared" ca="1" si="26"/>
        <v/>
      </c>
      <c r="J55" s="40">
        <f ca="1">IF(ISTEXT($F55),"",MAX($P$19:P54,$F55))</f>
        <v>0.42361111111111094</v>
      </c>
      <c r="K55" s="40">
        <f ca="1">IF(ISTEXT($F55),"",MAX($R$19:R54,$F55))</f>
        <v>0.42222222222222205</v>
      </c>
      <c r="L55" s="40">
        <f t="shared" ca="1" si="9"/>
        <v>0.42222222222222205</v>
      </c>
      <c r="M55" s="40">
        <f t="shared" ca="1" si="10"/>
        <v>0.42222222222222205</v>
      </c>
      <c r="N55">
        <f t="shared" ca="1" si="11"/>
        <v>2</v>
      </c>
      <c r="O55" s="40" t="str">
        <f t="shared" ca="1" si="12"/>
        <v/>
      </c>
      <c r="P55" s="40">
        <f t="shared" ca="1" si="13"/>
        <v>0.42361111111111094</v>
      </c>
      <c r="Q55" s="40">
        <f t="shared" ca="1" si="14"/>
        <v>0.42222222222222205</v>
      </c>
      <c r="R55" s="40">
        <f t="shared" ca="1" si="15"/>
        <v>0.42916666666666647</v>
      </c>
      <c r="S55" s="40" t="str">
        <f t="shared" ca="1" si="16"/>
        <v/>
      </c>
      <c r="T55" s="40">
        <f t="shared" ca="1" si="17"/>
        <v>0.42222222222222205</v>
      </c>
      <c r="U55" s="40" t="str">
        <f t="shared" ca="1" si="18"/>
        <v/>
      </c>
      <c r="V55" s="40">
        <f t="shared" ca="1" si="19"/>
        <v>0.42222222222222205</v>
      </c>
      <c r="W55" s="40">
        <f t="shared" ca="1" si="20"/>
        <v>7.6388888888888618E-3</v>
      </c>
      <c r="X55" s="40">
        <f t="shared" ca="1" si="21"/>
        <v>7.638888888888886E-3</v>
      </c>
      <c r="Y55" s="40">
        <f t="shared" ca="1" si="22"/>
        <v>0.42916666666666647</v>
      </c>
      <c r="Z55">
        <f ca="1">COUNTIF($M$19:$M54,"&gt;"&amp;$F55)</f>
        <v>0</v>
      </c>
    </row>
    <row r="56" spans="1:26" x14ac:dyDescent="0.3">
      <c r="A56">
        <f t="shared" ca="1" si="4"/>
        <v>37</v>
      </c>
      <c r="B56">
        <f t="shared" ca="1" si="5"/>
        <v>3</v>
      </c>
      <c r="C56" s="40">
        <f t="shared" ca="1" si="6"/>
        <v>2.0833333333333333E-3</v>
      </c>
      <c r="D56">
        <f t="shared" ca="1" si="23"/>
        <v>3</v>
      </c>
      <c r="E56" s="40">
        <f t="shared" ca="1" si="7"/>
        <v>2.0833333333333333E-3</v>
      </c>
      <c r="F56" s="40">
        <f t="shared" ca="1" si="24"/>
        <v>0.42361111111111094</v>
      </c>
      <c r="G56" s="40">
        <f t="shared" ca="1" si="8"/>
        <v>0</v>
      </c>
      <c r="H56" t="str">
        <f t="shared" ca="1" si="25"/>
        <v/>
      </c>
      <c r="I56" s="40" t="str">
        <f t="shared" ca="1" si="26"/>
        <v/>
      </c>
      <c r="J56" s="40">
        <f ca="1">IF(ISTEXT($F56),"",MAX($P$19:P55,$F56))</f>
        <v>0.42361111111111094</v>
      </c>
      <c r="K56" s="40">
        <f ca="1">IF(ISTEXT($F56),"",MAX($R$19:R55,$F56))</f>
        <v>0.42916666666666647</v>
      </c>
      <c r="L56" s="40">
        <f t="shared" ca="1" si="9"/>
        <v>0.42361111111111094</v>
      </c>
      <c r="M56" s="40">
        <f t="shared" ca="1" si="10"/>
        <v>0.42361111111111094</v>
      </c>
      <c r="N56">
        <f t="shared" ca="1" si="11"/>
        <v>1</v>
      </c>
      <c r="O56" s="40">
        <f t="shared" ca="1" si="12"/>
        <v>0.42361111111111094</v>
      </c>
      <c r="P56" s="40">
        <f t="shared" ca="1" si="13"/>
        <v>0.42569444444444426</v>
      </c>
      <c r="Q56" s="40" t="str">
        <f t="shared" ca="1" si="14"/>
        <v/>
      </c>
      <c r="R56" s="40">
        <f t="shared" ca="1" si="15"/>
        <v>0.42916666666666647</v>
      </c>
      <c r="S56" s="40" t="str">
        <f t="shared" ca="1" si="16"/>
        <v/>
      </c>
      <c r="T56" s="40">
        <f t="shared" ca="1" si="17"/>
        <v>0.42222222222222205</v>
      </c>
      <c r="U56" s="40" t="str">
        <f t="shared" ca="1" si="18"/>
        <v/>
      </c>
      <c r="V56" s="40">
        <f t="shared" ca="1" si="19"/>
        <v>0.42361111111111094</v>
      </c>
      <c r="W56" s="40">
        <f t="shared" ca="1" si="20"/>
        <v>2.0833333333333259E-3</v>
      </c>
      <c r="X56" s="40">
        <f t="shared" ca="1" si="21"/>
        <v>2.0833333333333333E-3</v>
      </c>
      <c r="Y56" s="40">
        <f t="shared" ca="1" si="22"/>
        <v>0.42569444444444426</v>
      </c>
      <c r="Z56">
        <f ca="1">COUNTIF($M$19:$M55,"&gt;"&amp;$F56)</f>
        <v>0</v>
      </c>
    </row>
    <row r="57" spans="1:26" x14ac:dyDescent="0.3">
      <c r="A57">
        <f t="shared" ca="1" si="4"/>
        <v>38</v>
      </c>
      <c r="B57">
        <f t="shared" ca="1" si="5"/>
        <v>1</v>
      </c>
      <c r="C57" s="40">
        <f t="shared" ca="1" si="6"/>
        <v>6.9444444444444447E-4</v>
      </c>
      <c r="D57">
        <f t="shared" ca="1" si="23"/>
        <v>5</v>
      </c>
      <c r="E57" s="40">
        <f t="shared" ca="1" si="7"/>
        <v>3.472222222222222E-3</v>
      </c>
      <c r="F57" s="40">
        <f t="shared" ca="1" si="24"/>
        <v>0.42430555555555538</v>
      </c>
      <c r="G57" s="40">
        <f t="shared" ca="1" si="8"/>
        <v>0</v>
      </c>
      <c r="H57" t="str">
        <f t="shared" ca="1" si="25"/>
        <v/>
      </c>
      <c r="I57" s="40" t="str">
        <f t="shared" ca="1" si="26"/>
        <v/>
      </c>
      <c r="J57" s="40">
        <f ca="1">IF(ISTEXT($F57),"",MAX($P$19:P56,$F57))</f>
        <v>0.42569444444444426</v>
      </c>
      <c r="K57" s="40">
        <f ca="1">IF(ISTEXT($F57),"",MAX($R$19:R56,$F57))</f>
        <v>0.42916666666666647</v>
      </c>
      <c r="L57" s="40">
        <f t="shared" ca="1" si="9"/>
        <v>0.42430555555555538</v>
      </c>
      <c r="M57" s="40">
        <f t="shared" ca="1" si="10"/>
        <v>0.42430555555555538</v>
      </c>
      <c r="N57">
        <f t="shared" ca="1" si="11"/>
        <v>3</v>
      </c>
      <c r="O57" s="40" t="str">
        <f t="shared" ca="1" si="12"/>
        <v/>
      </c>
      <c r="P57" s="40">
        <f t="shared" ca="1" si="13"/>
        <v>0.42569444444444426</v>
      </c>
      <c r="Q57" s="40" t="str">
        <f t="shared" ca="1" si="14"/>
        <v/>
      </c>
      <c r="R57" s="40">
        <f t="shared" ca="1" si="15"/>
        <v>0.42916666666666647</v>
      </c>
      <c r="S57" s="40">
        <f t="shared" ca="1" si="16"/>
        <v>0.42430555555555538</v>
      </c>
      <c r="T57" s="40">
        <f t="shared" ca="1" si="17"/>
        <v>0.42777777777777759</v>
      </c>
      <c r="U57" s="40" t="str">
        <f t="shared" ca="1" si="18"/>
        <v/>
      </c>
      <c r="V57" s="40">
        <f t="shared" ca="1" si="19"/>
        <v>0.42430555555555538</v>
      </c>
      <c r="W57" s="40">
        <f t="shared" ca="1" si="20"/>
        <v>3.4722222222222099E-3</v>
      </c>
      <c r="X57" s="40">
        <f t="shared" ca="1" si="21"/>
        <v>3.472222222222222E-3</v>
      </c>
      <c r="Y57" s="40">
        <f t="shared" ca="1" si="22"/>
        <v>0.42777777777777759</v>
      </c>
      <c r="Z57">
        <f ca="1">COUNTIF($M$19:$M56,"&gt;"&amp;$F57)</f>
        <v>0</v>
      </c>
    </row>
    <row r="58" spans="1:26" x14ac:dyDescent="0.3">
      <c r="A58">
        <f t="shared" ca="1" si="4"/>
        <v>39</v>
      </c>
      <c r="B58">
        <f t="shared" ca="1" si="5"/>
        <v>2</v>
      </c>
      <c r="C58" s="40">
        <f t="shared" ca="1" si="6"/>
        <v>1.3888888888888889E-3</v>
      </c>
      <c r="D58">
        <f t="shared" ca="1" si="23"/>
        <v>10</v>
      </c>
      <c r="E58" s="40">
        <f t="shared" ca="1" si="7"/>
        <v>6.9444444444444441E-3</v>
      </c>
      <c r="F58" s="40">
        <f t="shared" ca="1" si="24"/>
        <v>0.42569444444444426</v>
      </c>
      <c r="G58" s="40">
        <f t="shared" ca="1" si="8"/>
        <v>0</v>
      </c>
      <c r="H58" t="str">
        <f t="shared" ca="1" si="25"/>
        <v/>
      </c>
      <c r="I58" s="40" t="str">
        <f t="shared" ca="1" si="26"/>
        <v/>
      </c>
      <c r="J58" s="40">
        <f ca="1">IF(ISTEXT($F58),"",MAX($P$19:P57,$F58))</f>
        <v>0.42569444444444426</v>
      </c>
      <c r="K58" s="40">
        <f ca="1">IF(ISTEXT($F58),"",MAX($R$19:R57,$F58))</f>
        <v>0.42916666666666647</v>
      </c>
      <c r="L58" s="40">
        <f t="shared" ca="1" si="9"/>
        <v>0.42777777777777759</v>
      </c>
      <c r="M58" s="40">
        <f t="shared" ca="1" si="10"/>
        <v>0.42569444444444426</v>
      </c>
      <c r="N58">
        <f t="shared" ca="1" si="11"/>
        <v>1</v>
      </c>
      <c r="O58" s="40">
        <f t="shared" ca="1" si="12"/>
        <v>0.42569444444444426</v>
      </c>
      <c r="P58" s="40">
        <f t="shared" ca="1" si="13"/>
        <v>0.43263888888888868</v>
      </c>
      <c r="Q58" s="40" t="str">
        <f t="shared" ca="1" si="14"/>
        <v/>
      </c>
      <c r="R58" s="40">
        <f t="shared" ca="1" si="15"/>
        <v>0.42916666666666647</v>
      </c>
      <c r="S58" s="40" t="str">
        <f t="shared" ca="1" si="16"/>
        <v/>
      </c>
      <c r="T58" s="40">
        <f t="shared" ca="1" si="17"/>
        <v>0.42777777777777759</v>
      </c>
      <c r="U58" s="40" t="str">
        <f t="shared" ca="1" si="18"/>
        <v/>
      </c>
      <c r="V58" s="40">
        <f t="shared" ca="1" si="19"/>
        <v>0.42569444444444426</v>
      </c>
      <c r="W58" s="40">
        <f t="shared" ca="1" si="20"/>
        <v>6.9444444444444198E-3</v>
      </c>
      <c r="X58" s="40">
        <f t="shared" ca="1" si="21"/>
        <v>6.9444444444444441E-3</v>
      </c>
      <c r="Y58" s="40">
        <f t="shared" ca="1" si="22"/>
        <v>0.43263888888888868</v>
      </c>
      <c r="Z58">
        <f ca="1">COUNTIF($M$19:$M57,"&gt;"&amp;$F58)</f>
        <v>0</v>
      </c>
    </row>
    <row r="59" spans="1:26" x14ac:dyDescent="0.3">
      <c r="A59">
        <f t="shared" ca="1" si="4"/>
        <v>40</v>
      </c>
      <c r="B59">
        <f t="shared" ca="1" si="5"/>
        <v>1</v>
      </c>
      <c r="C59" s="40">
        <f t="shared" ca="1" si="6"/>
        <v>6.9444444444444447E-4</v>
      </c>
      <c r="D59">
        <f t="shared" ca="1" si="23"/>
        <v>1</v>
      </c>
      <c r="E59" s="40">
        <f t="shared" ca="1" si="7"/>
        <v>6.9444444444444447E-4</v>
      </c>
      <c r="F59" s="40">
        <f t="shared" ca="1" si="24"/>
        <v>0.42638888888888871</v>
      </c>
      <c r="G59" s="40">
        <f t="shared" ca="1" si="8"/>
        <v>1.388888888888884E-3</v>
      </c>
      <c r="H59" t="str">
        <f t="shared" ca="1" si="25"/>
        <v/>
      </c>
      <c r="I59" s="40" t="str">
        <f t="shared" ca="1" si="26"/>
        <v/>
      </c>
      <c r="J59" s="40">
        <f ca="1">IF(ISTEXT($F59),"",MAX($P$19:P58,$F59))</f>
        <v>0.43263888888888868</v>
      </c>
      <c r="K59" s="40">
        <f ca="1">IF(ISTEXT($F59),"",MAX($R$19:R58,$F59))</f>
        <v>0.42916666666666647</v>
      </c>
      <c r="L59" s="40">
        <f t="shared" ca="1" si="9"/>
        <v>0.42777777777777759</v>
      </c>
      <c r="M59" s="40">
        <f t="shared" ca="1" si="10"/>
        <v>0.42777777777777759</v>
      </c>
      <c r="N59">
        <f t="shared" ca="1" si="11"/>
        <v>3</v>
      </c>
      <c r="O59" s="40" t="str">
        <f t="shared" ca="1" si="12"/>
        <v/>
      </c>
      <c r="P59" s="40">
        <f t="shared" ca="1" si="13"/>
        <v>0.43263888888888868</v>
      </c>
      <c r="Q59" s="40" t="str">
        <f t="shared" ca="1" si="14"/>
        <v/>
      </c>
      <c r="R59" s="40">
        <f t="shared" ca="1" si="15"/>
        <v>0.42916666666666647</v>
      </c>
      <c r="S59" s="40">
        <f t="shared" ca="1" si="16"/>
        <v>0.42777777777777759</v>
      </c>
      <c r="T59" s="40">
        <f t="shared" ca="1" si="17"/>
        <v>0.42847222222222203</v>
      </c>
      <c r="U59" s="40" t="str">
        <f t="shared" ca="1" si="18"/>
        <v/>
      </c>
      <c r="V59" s="40">
        <f t="shared" ca="1" si="19"/>
        <v>0.42777777777777759</v>
      </c>
      <c r="W59" s="40">
        <f t="shared" ca="1" si="20"/>
        <v>2.0833333333333259E-3</v>
      </c>
      <c r="X59" s="40">
        <f t="shared" ca="1" si="21"/>
        <v>2.0833333333333285E-3</v>
      </c>
      <c r="Y59" s="40">
        <f t="shared" ca="1" si="22"/>
        <v>0.42847222222222203</v>
      </c>
      <c r="Z59">
        <f ca="1">COUNTIF($M$19:$M58,"&gt;"&amp;$F59)</f>
        <v>0</v>
      </c>
    </row>
    <row r="60" spans="1:26" x14ac:dyDescent="0.3">
      <c r="A60">
        <f t="shared" ca="1" si="4"/>
        <v>41</v>
      </c>
      <c r="B60">
        <f t="shared" ca="1" si="5"/>
        <v>1</v>
      </c>
      <c r="C60" s="40">
        <f t="shared" ca="1" si="6"/>
        <v>6.9444444444444447E-4</v>
      </c>
      <c r="D60">
        <f t="shared" ca="1" si="23"/>
        <v>1</v>
      </c>
      <c r="E60" s="40">
        <f t="shared" ca="1" si="7"/>
        <v>6.9444444444444447E-4</v>
      </c>
      <c r="F60" s="40">
        <f t="shared" ca="1" si="24"/>
        <v>0.42708333333333315</v>
      </c>
      <c r="G60" s="40">
        <f t="shared" ca="1" si="8"/>
        <v>1.388888888888884E-3</v>
      </c>
      <c r="H60" t="str">
        <f t="shared" ca="1" si="25"/>
        <v/>
      </c>
      <c r="I60" s="40" t="str">
        <f t="shared" ca="1" si="26"/>
        <v/>
      </c>
      <c r="J60" s="40">
        <f ca="1">IF(ISTEXT($F60),"",MAX($P$19:P59,$F60))</f>
        <v>0.43263888888888868</v>
      </c>
      <c r="K60" s="40">
        <f ca="1">IF(ISTEXT($F60),"",MAX($R$19:R59,$F60))</f>
        <v>0.42916666666666647</v>
      </c>
      <c r="L60" s="40">
        <f t="shared" ca="1" si="9"/>
        <v>0.42847222222222203</v>
      </c>
      <c r="M60" s="40">
        <f t="shared" ca="1" si="10"/>
        <v>0.42847222222222203</v>
      </c>
      <c r="N60">
        <f t="shared" ca="1" si="11"/>
        <v>3</v>
      </c>
      <c r="O60" s="40" t="str">
        <f t="shared" ca="1" si="12"/>
        <v/>
      </c>
      <c r="P60" s="40">
        <f t="shared" ca="1" si="13"/>
        <v>0.43263888888888868</v>
      </c>
      <c r="Q60" s="40" t="str">
        <f t="shared" ca="1" si="14"/>
        <v/>
      </c>
      <c r="R60" s="40">
        <f t="shared" ca="1" si="15"/>
        <v>0.42916666666666647</v>
      </c>
      <c r="S60" s="40">
        <f t="shared" ca="1" si="16"/>
        <v>0.42847222222222203</v>
      </c>
      <c r="T60" s="40">
        <f t="shared" ca="1" si="17"/>
        <v>0.42916666666666647</v>
      </c>
      <c r="U60" s="40" t="str">
        <f t="shared" ca="1" si="18"/>
        <v/>
      </c>
      <c r="V60" s="40">
        <f t="shared" ca="1" si="19"/>
        <v>0.42847222222222203</v>
      </c>
      <c r="W60" s="40">
        <f t="shared" ca="1" si="20"/>
        <v>2.0833333333333259E-3</v>
      </c>
      <c r="X60" s="40">
        <f t="shared" ca="1" si="21"/>
        <v>2.0833333333333285E-3</v>
      </c>
      <c r="Y60" s="40">
        <f t="shared" ca="1" si="22"/>
        <v>0.42916666666666647</v>
      </c>
      <c r="Z60">
        <f ca="1">COUNTIF($M$19:$M59,"&gt;"&amp;$F60)</f>
        <v>1</v>
      </c>
    </row>
    <row r="61" spans="1:26" x14ac:dyDescent="0.3">
      <c r="A61">
        <f t="shared" ca="1" si="4"/>
        <v>42</v>
      </c>
      <c r="B61">
        <f t="shared" ca="1" si="5"/>
        <v>1</v>
      </c>
      <c r="C61" s="40">
        <f t="shared" ca="1" si="6"/>
        <v>6.9444444444444447E-4</v>
      </c>
      <c r="D61">
        <f t="shared" ca="1" si="23"/>
        <v>5</v>
      </c>
      <c r="E61" s="40">
        <f t="shared" ca="1" si="7"/>
        <v>3.472222222222222E-3</v>
      </c>
      <c r="F61" s="40">
        <f t="shared" ca="1" si="24"/>
        <v>0.42777777777777759</v>
      </c>
      <c r="G61" s="40">
        <f t="shared" ca="1" si="8"/>
        <v>1.388888888888884E-3</v>
      </c>
      <c r="H61" t="str">
        <f t="shared" ca="1" si="25"/>
        <v/>
      </c>
      <c r="I61" s="40" t="str">
        <f t="shared" ca="1" si="26"/>
        <v/>
      </c>
      <c r="J61" s="40">
        <f ca="1">IF(ISTEXT($F61),"",MAX($P$19:P60,$F61))</f>
        <v>0.43263888888888868</v>
      </c>
      <c r="K61" s="40">
        <f ca="1">IF(ISTEXT($F61),"",MAX($R$19:R60,$F61))</f>
        <v>0.42916666666666647</v>
      </c>
      <c r="L61" s="40">
        <f t="shared" ca="1" si="9"/>
        <v>0.42916666666666647</v>
      </c>
      <c r="M61" s="40">
        <f t="shared" ca="1" si="10"/>
        <v>0.42916666666666647</v>
      </c>
      <c r="N61">
        <f t="shared" ca="1" si="11"/>
        <v>2</v>
      </c>
      <c r="O61" s="40" t="str">
        <f t="shared" ca="1" si="12"/>
        <v/>
      </c>
      <c r="P61" s="40">
        <f t="shared" ca="1" si="13"/>
        <v>0.43263888888888868</v>
      </c>
      <c r="Q61" s="40">
        <f t="shared" ca="1" si="14"/>
        <v>0.42916666666666647</v>
      </c>
      <c r="R61" s="40">
        <f t="shared" ca="1" si="15"/>
        <v>0.43263888888888868</v>
      </c>
      <c r="S61" s="40" t="str">
        <f t="shared" ca="1" si="16"/>
        <v/>
      </c>
      <c r="T61" s="40">
        <f t="shared" ca="1" si="17"/>
        <v>0.42916666666666647</v>
      </c>
      <c r="U61" s="40" t="str">
        <f t="shared" ca="1" si="18"/>
        <v/>
      </c>
      <c r="V61" s="40">
        <f t="shared" ca="1" si="19"/>
        <v>0.42916666666666647</v>
      </c>
      <c r="W61" s="40">
        <f t="shared" ca="1" si="20"/>
        <v>4.8611111111110938E-3</v>
      </c>
      <c r="X61" s="40">
        <f t="shared" ca="1" si="21"/>
        <v>4.861111111111106E-3</v>
      </c>
      <c r="Y61" s="40">
        <f t="shared" ca="1" si="22"/>
        <v>0.43263888888888868</v>
      </c>
      <c r="Z61">
        <f ca="1">COUNTIF($M$19:$M60,"&gt;"&amp;$F61)</f>
        <v>1</v>
      </c>
    </row>
    <row r="62" spans="1:26" x14ac:dyDescent="0.3">
      <c r="A62">
        <f t="shared" ca="1" si="4"/>
        <v>43</v>
      </c>
      <c r="B62">
        <f t="shared" ca="1" si="5"/>
        <v>3</v>
      </c>
      <c r="C62" s="40">
        <f t="shared" ca="1" si="6"/>
        <v>2.0833333333333333E-3</v>
      </c>
      <c r="D62">
        <f t="shared" ca="1" si="23"/>
        <v>5</v>
      </c>
      <c r="E62" s="40">
        <f t="shared" ca="1" si="7"/>
        <v>3.472222222222222E-3</v>
      </c>
      <c r="F62" s="40">
        <f t="shared" ca="1" si="24"/>
        <v>0.42986111111111092</v>
      </c>
      <c r="G62" s="40">
        <f t="shared" ca="1" si="8"/>
        <v>0</v>
      </c>
      <c r="H62" t="str">
        <f t="shared" ca="1" si="25"/>
        <v/>
      </c>
      <c r="I62" s="40" t="str">
        <f t="shared" ca="1" si="26"/>
        <v/>
      </c>
      <c r="J62" s="40">
        <f ca="1">IF(ISTEXT($F62),"",MAX($P$19:P61,$F62))</f>
        <v>0.43263888888888868</v>
      </c>
      <c r="K62" s="40">
        <f ca="1">IF(ISTEXT($F62),"",MAX($R$19:R61,$F62))</f>
        <v>0.43263888888888868</v>
      </c>
      <c r="L62" s="40">
        <f t="shared" ca="1" si="9"/>
        <v>0.42986111111111092</v>
      </c>
      <c r="M62" s="40">
        <f t="shared" ca="1" si="10"/>
        <v>0.42986111111111092</v>
      </c>
      <c r="N62">
        <f t="shared" ca="1" si="11"/>
        <v>3</v>
      </c>
      <c r="O62" s="40" t="str">
        <f t="shared" ca="1" si="12"/>
        <v/>
      </c>
      <c r="P62" s="40">
        <f t="shared" ca="1" si="13"/>
        <v>0.43263888888888868</v>
      </c>
      <c r="Q62" s="40" t="str">
        <f t="shared" ca="1" si="14"/>
        <v/>
      </c>
      <c r="R62" s="40">
        <f t="shared" ca="1" si="15"/>
        <v>0.43263888888888868</v>
      </c>
      <c r="S62" s="40">
        <f t="shared" ca="1" si="16"/>
        <v>0.42986111111111092</v>
      </c>
      <c r="T62" s="40">
        <f t="shared" ca="1" si="17"/>
        <v>0.43333333333333313</v>
      </c>
      <c r="U62" s="40" t="str">
        <f t="shared" ca="1" si="18"/>
        <v/>
      </c>
      <c r="V62" s="40">
        <f t="shared" ca="1" si="19"/>
        <v>0.42986111111111092</v>
      </c>
      <c r="W62" s="40">
        <f t="shared" ca="1" si="20"/>
        <v>3.4722222222222099E-3</v>
      </c>
      <c r="X62" s="40">
        <f t="shared" ca="1" si="21"/>
        <v>3.472222222222222E-3</v>
      </c>
      <c r="Y62" s="40">
        <f t="shared" ca="1" si="22"/>
        <v>0.43333333333333313</v>
      </c>
      <c r="Z62">
        <f ca="1">COUNTIF($M$19:$M61,"&gt;"&amp;$F62)</f>
        <v>0</v>
      </c>
    </row>
    <row r="63" spans="1:26" x14ac:dyDescent="0.3">
      <c r="A63">
        <f t="shared" ca="1" si="4"/>
        <v>44</v>
      </c>
      <c r="B63">
        <f t="shared" ca="1" si="5"/>
        <v>1</v>
      </c>
      <c r="C63" s="40">
        <f t="shared" ca="1" si="6"/>
        <v>6.9444444444444447E-4</v>
      </c>
      <c r="D63">
        <f t="shared" ca="1" si="23"/>
        <v>3</v>
      </c>
      <c r="E63" s="40">
        <f t="shared" ca="1" si="7"/>
        <v>2.0833333333333333E-3</v>
      </c>
      <c r="F63" s="40">
        <f t="shared" ca="1" si="24"/>
        <v>0.43055555555555536</v>
      </c>
      <c r="G63" s="40">
        <f t="shared" ca="1" si="8"/>
        <v>2.0833333333333259E-3</v>
      </c>
      <c r="H63" t="str">
        <f t="shared" ca="1" si="25"/>
        <v/>
      </c>
      <c r="I63" s="40" t="str">
        <f t="shared" ca="1" si="26"/>
        <v/>
      </c>
      <c r="J63" s="40">
        <f ca="1">IF(ISTEXT($F63),"",MAX($P$19:P62,$F63))</f>
        <v>0.43263888888888868</v>
      </c>
      <c r="K63" s="40">
        <f ca="1">IF(ISTEXT($F63),"",MAX($R$19:R62,$F63))</f>
        <v>0.43263888888888868</v>
      </c>
      <c r="L63" s="40">
        <f t="shared" ca="1" si="9"/>
        <v>0.43333333333333313</v>
      </c>
      <c r="M63" s="40">
        <f t="shared" ca="1" si="10"/>
        <v>0.43263888888888868</v>
      </c>
      <c r="N63">
        <f t="shared" ca="1" si="11"/>
        <v>1</v>
      </c>
      <c r="O63" s="40">
        <f t="shared" ca="1" si="12"/>
        <v>0.43263888888888868</v>
      </c>
      <c r="P63" s="40">
        <f t="shared" ca="1" si="13"/>
        <v>0.43472222222222201</v>
      </c>
      <c r="Q63" s="40" t="str">
        <f t="shared" ca="1" si="14"/>
        <v/>
      </c>
      <c r="R63" s="40">
        <f t="shared" ca="1" si="15"/>
        <v>0.43263888888888868</v>
      </c>
      <c r="S63" s="40" t="str">
        <f t="shared" ca="1" si="16"/>
        <v/>
      </c>
      <c r="T63" s="40">
        <f t="shared" ca="1" si="17"/>
        <v>0.43333333333333313</v>
      </c>
      <c r="U63" s="40" t="str">
        <f t="shared" ca="1" si="18"/>
        <v/>
      </c>
      <c r="V63" s="40">
        <f t="shared" ca="1" si="19"/>
        <v>0.43263888888888868</v>
      </c>
      <c r="W63" s="40">
        <f t="shared" ca="1" si="20"/>
        <v>4.1666666666666519E-3</v>
      </c>
      <c r="X63" s="40">
        <f t="shared" ca="1" si="21"/>
        <v>4.1666666666666588E-3</v>
      </c>
      <c r="Y63" s="40">
        <f t="shared" ca="1" si="22"/>
        <v>0.43472222222222201</v>
      </c>
      <c r="Z63">
        <f ca="1">COUNTIF($M$19:$M62,"&gt;"&amp;$F63)</f>
        <v>0</v>
      </c>
    </row>
    <row r="64" spans="1:26" x14ac:dyDescent="0.3">
      <c r="A64">
        <f t="shared" ca="1" si="4"/>
        <v>45</v>
      </c>
      <c r="B64">
        <f t="shared" ca="1" si="5"/>
        <v>1</v>
      </c>
      <c r="C64" s="40">
        <f t="shared" ca="1" si="6"/>
        <v>6.9444444444444447E-4</v>
      </c>
      <c r="D64">
        <f t="shared" ca="1" si="23"/>
        <v>3</v>
      </c>
      <c r="E64" s="40">
        <f t="shared" ca="1" si="7"/>
        <v>2.0833333333333333E-3</v>
      </c>
      <c r="F64" s="40">
        <f t="shared" ca="1" si="24"/>
        <v>0.4312499999999998</v>
      </c>
      <c r="G64" s="40">
        <f t="shared" ca="1" si="8"/>
        <v>1.388888888888884E-3</v>
      </c>
      <c r="H64" t="str">
        <f t="shared" ca="1" si="25"/>
        <v/>
      </c>
      <c r="I64" s="40" t="str">
        <f t="shared" ca="1" si="26"/>
        <v/>
      </c>
      <c r="J64" s="40">
        <f ca="1">IF(ISTEXT($F64),"",MAX($P$19:P63,$F64))</f>
        <v>0.43472222222222201</v>
      </c>
      <c r="K64" s="40">
        <f ca="1">IF(ISTEXT($F64),"",MAX($R$19:R63,$F64))</f>
        <v>0.43263888888888868</v>
      </c>
      <c r="L64" s="40">
        <f t="shared" ca="1" si="9"/>
        <v>0.43333333333333313</v>
      </c>
      <c r="M64" s="40">
        <f t="shared" ca="1" si="10"/>
        <v>0.43263888888888868</v>
      </c>
      <c r="N64">
        <f t="shared" ca="1" si="11"/>
        <v>2</v>
      </c>
      <c r="O64" s="40" t="str">
        <f t="shared" ca="1" si="12"/>
        <v/>
      </c>
      <c r="P64" s="40">
        <f t="shared" ca="1" si="13"/>
        <v>0.43472222222222201</v>
      </c>
      <c r="Q64" s="40">
        <f t="shared" ca="1" si="14"/>
        <v>0.43263888888888868</v>
      </c>
      <c r="R64" s="40">
        <f t="shared" ca="1" si="15"/>
        <v>0.43472222222222201</v>
      </c>
      <c r="S64" s="40" t="str">
        <f t="shared" ca="1" si="16"/>
        <v/>
      </c>
      <c r="T64" s="40">
        <f t="shared" ca="1" si="17"/>
        <v>0.43333333333333313</v>
      </c>
      <c r="U64" s="40" t="str">
        <f t="shared" ca="1" si="18"/>
        <v/>
      </c>
      <c r="V64" s="40">
        <f t="shared" ca="1" si="19"/>
        <v>0.43263888888888868</v>
      </c>
      <c r="W64" s="40">
        <f t="shared" ca="1" si="20"/>
        <v>3.4722222222222099E-3</v>
      </c>
      <c r="X64" s="40">
        <f t="shared" ca="1" si="21"/>
        <v>3.4722222222222173E-3</v>
      </c>
      <c r="Y64" s="40">
        <f t="shared" ca="1" si="22"/>
        <v>0.43472222222222201</v>
      </c>
      <c r="Z64">
        <f ca="1">COUNTIF($M$19:$M63,"&gt;"&amp;$F64)</f>
        <v>1</v>
      </c>
    </row>
    <row r="65" spans="1:26" x14ac:dyDescent="0.3">
      <c r="A65">
        <f t="shared" ca="1" si="4"/>
        <v>46</v>
      </c>
      <c r="B65">
        <f t="shared" ca="1" si="5"/>
        <v>1</v>
      </c>
      <c r="C65" s="40">
        <f t="shared" ca="1" si="6"/>
        <v>6.9444444444444447E-4</v>
      </c>
      <c r="D65">
        <f t="shared" ca="1" si="23"/>
        <v>10</v>
      </c>
      <c r="E65" s="40">
        <f t="shared" ca="1" si="7"/>
        <v>6.9444444444444441E-3</v>
      </c>
      <c r="F65" s="40">
        <f t="shared" ca="1" si="24"/>
        <v>0.43194444444444424</v>
      </c>
      <c r="G65" s="40">
        <f t="shared" ca="1" si="8"/>
        <v>1.388888888888884E-3</v>
      </c>
      <c r="H65" t="str">
        <f t="shared" ca="1" si="25"/>
        <v/>
      </c>
      <c r="I65" s="40" t="str">
        <f t="shared" ca="1" si="26"/>
        <v/>
      </c>
      <c r="J65" s="40">
        <f ca="1">IF(ISTEXT($F65),"",MAX($P$19:P64,$F65))</f>
        <v>0.43472222222222201</v>
      </c>
      <c r="K65" s="40">
        <f ca="1">IF(ISTEXT($F65),"",MAX($R$19:R64,$F65))</f>
        <v>0.43472222222222201</v>
      </c>
      <c r="L65" s="40">
        <f t="shared" ca="1" si="9"/>
        <v>0.43333333333333313</v>
      </c>
      <c r="M65" s="40">
        <f t="shared" ca="1" si="10"/>
        <v>0.43333333333333313</v>
      </c>
      <c r="N65">
        <f t="shared" ca="1" si="11"/>
        <v>3</v>
      </c>
      <c r="O65" s="40" t="str">
        <f t="shared" ca="1" si="12"/>
        <v/>
      </c>
      <c r="P65" s="40">
        <f t="shared" ca="1" si="13"/>
        <v>0.43472222222222201</v>
      </c>
      <c r="Q65" s="40" t="str">
        <f t="shared" ca="1" si="14"/>
        <v/>
      </c>
      <c r="R65" s="40">
        <f t="shared" ca="1" si="15"/>
        <v>0.43472222222222201</v>
      </c>
      <c r="S65" s="40">
        <f t="shared" ca="1" si="16"/>
        <v>0.43333333333333313</v>
      </c>
      <c r="T65" s="40">
        <f t="shared" ca="1" si="17"/>
        <v>0.44027777777777755</v>
      </c>
      <c r="U65" s="40" t="str">
        <f t="shared" ca="1" si="18"/>
        <v/>
      </c>
      <c r="V65" s="40">
        <f t="shared" ca="1" si="19"/>
        <v>0.43333333333333313</v>
      </c>
      <c r="W65" s="40">
        <f t="shared" ca="1" si="20"/>
        <v>8.3333333333333037E-3</v>
      </c>
      <c r="X65" s="40">
        <f t="shared" ca="1" si="21"/>
        <v>8.333333333333328E-3</v>
      </c>
      <c r="Y65" s="40">
        <f t="shared" ca="1" si="22"/>
        <v>0.44027777777777755</v>
      </c>
      <c r="Z65">
        <f ca="1">COUNTIF($M$19:$M64,"&gt;"&amp;$F65)</f>
        <v>2</v>
      </c>
    </row>
    <row r="66" spans="1:26" x14ac:dyDescent="0.3">
      <c r="A66">
        <f t="shared" ca="1" si="4"/>
        <v>47</v>
      </c>
      <c r="B66">
        <f t="shared" ca="1" si="5"/>
        <v>1</v>
      </c>
      <c r="C66" s="40">
        <f t="shared" ca="1" si="6"/>
        <v>6.9444444444444447E-4</v>
      </c>
      <c r="D66">
        <f t="shared" ca="1" si="23"/>
        <v>10</v>
      </c>
      <c r="E66" s="40">
        <f t="shared" ca="1" si="7"/>
        <v>6.9444444444444441E-3</v>
      </c>
      <c r="F66" s="40">
        <f t="shared" ca="1" si="24"/>
        <v>0.43263888888888868</v>
      </c>
      <c r="G66" s="40">
        <f t="shared" ca="1" si="8"/>
        <v>2.0833333333333259E-3</v>
      </c>
      <c r="H66" t="str">
        <f t="shared" ca="1" si="25"/>
        <v/>
      </c>
      <c r="I66" s="40" t="str">
        <f t="shared" ca="1" si="26"/>
        <v/>
      </c>
      <c r="J66" s="40">
        <f ca="1">IF(ISTEXT($F66),"",MAX($P$19:P65,$F66))</f>
        <v>0.43472222222222201</v>
      </c>
      <c r="K66" s="40">
        <f ca="1">IF(ISTEXT($F66),"",MAX($R$19:R65,$F66))</f>
        <v>0.43472222222222201</v>
      </c>
      <c r="L66" s="40">
        <f t="shared" ca="1" si="9"/>
        <v>0.44027777777777755</v>
      </c>
      <c r="M66" s="40">
        <f t="shared" ca="1" si="10"/>
        <v>0.43472222222222201</v>
      </c>
      <c r="N66">
        <f t="shared" ca="1" si="11"/>
        <v>1</v>
      </c>
      <c r="O66" s="40">
        <f t="shared" ca="1" si="12"/>
        <v>0.43472222222222201</v>
      </c>
      <c r="P66" s="40">
        <f t="shared" ca="1" si="13"/>
        <v>0.44166666666666643</v>
      </c>
      <c r="Q66" s="40" t="str">
        <f t="shared" ca="1" si="14"/>
        <v/>
      </c>
      <c r="R66" s="40">
        <f t="shared" ca="1" si="15"/>
        <v>0.43472222222222201</v>
      </c>
      <c r="S66" s="40" t="str">
        <f t="shared" ca="1" si="16"/>
        <v/>
      </c>
      <c r="T66" s="40">
        <f t="shared" ca="1" si="17"/>
        <v>0.44027777777777755</v>
      </c>
      <c r="U66" s="40" t="str">
        <f t="shared" ca="1" si="18"/>
        <v/>
      </c>
      <c r="V66" s="40">
        <f t="shared" ca="1" si="19"/>
        <v>0.43472222222222201</v>
      </c>
      <c r="W66" s="40">
        <f t="shared" ca="1" si="20"/>
        <v>9.0277777777777457E-3</v>
      </c>
      <c r="X66" s="40">
        <f t="shared" ca="1" si="21"/>
        <v>9.02777777777777E-3</v>
      </c>
      <c r="Y66" s="40">
        <f t="shared" ca="1" si="22"/>
        <v>0.44166666666666643</v>
      </c>
      <c r="Z66">
        <f ca="1">COUNTIF($M$19:$M65,"&gt;"&amp;$F66)</f>
        <v>1</v>
      </c>
    </row>
    <row r="67" spans="1:26" x14ac:dyDescent="0.3">
      <c r="A67">
        <f t="shared" ca="1" si="4"/>
        <v>48</v>
      </c>
      <c r="B67">
        <f t="shared" ca="1" si="5"/>
        <v>2</v>
      </c>
      <c r="C67" s="40">
        <f t="shared" ca="1" si="6"/>
        <v>1.3888888888888889E-3</v>
      </c>
      <c r="D67">
        <f t="shared" ca="1" si="23"/>
        <v>5</v>
      </c>
      <c r="E67" s="40">
        <f t="shared" ca="1" si="7"/>
        <v>3.472222222222222E-3</v>
      </c>
      <c r="F67" s="40">
        <f t="shared" ca="1" si="24"/>
        <v>0.43402777777777757</v>
      </c>
      <c r="G67" s="40">
        <f t="shared" ca="1" si="8"/>
        <v>6.9444444444444198E-4</v>
      </c>
      <c r="H67" t="str">
        <f t="shared" ca="1" si="25"/>
        <v/>
      </c>
      <c r="I67" s="40" t="str">
        <f t="shared" ca="1" si="26"/>
        <v/>
      </c>
      <c r="J67" s="40">
        <f ca="1">IF(ISTEXT($F67),"",MAX($P$19:P66,$F67))</f>
        <v>0.44166666666666643</v>
      </c>
      <c r="K67" s="40">
        <f ca="1">IF(ISTEXT($F67),"",MAX($R$19:R66,$F67))</f>
        <v>0.43472222222222201</v>
      </c>
      <c r="L67" s="40">
        <f t="shared" ca="1" si="9"/>
        <v>0.44027777777777755</v>
      </c>
      <c r="M67" s="40">
        <f t="shared" ca="1" si="10"/>
        <v>0.43472222222222201</v>
      </c>
      <c r="N67">
        <f t="shared" ca="1" si="11"/>
        <v>2</v>
      </c>
      <c r="O67" s="40" t="str">
        <f t="shared" ca="1" si="12"/>
        <v/>
      </c>
      <c r="P67" s="40">
        <f t="shared" ca="1" si="13"/>
        <v>0.44166666666666643</v>
      </c>
      <c r="Q67" s="40">
        <f t="shared" ca="1" si="14"/>
        <v>0.43472222222222201</v>
      </c>
      <c r="R67" s="40">
        <f t="shared" ca="1" si="15"/>
        <v>0.43819444444444422</v>
      </c>
      <c r="S67" s="40" t="str">
        <f t="shared" ca="1" si="16"/>
        <v/>
      </c>
      <c r="T67" s="40">
        <f t="shared" ca="1" si="17"/>
        <v>0.44027777777777755</v>
      </c>
      <c r="U67" s="40" t="str">
        <f t="shared" ca="1" si="18"/>
        <v/>
      </c>
      <c r="V67" s="40">
        <f t="shared" ca="1" si="19"/>
        <v>0.43472222222222201</v>
      </c>
      <c r="W67" s="40">
        <f t="shared" ca="1" si="20"/>
        <v>4.1666666666666519E-3</v>
      </c>
      <c r="X67" s="40">
        <f t="shared" ca="1" si="21"/>
        <v>4.166666666666664E-3</v>
      </c>
      <c r="Y67" s="40">
        <f t="shared" ca="1" si="22"/>
        <v>0.43819444444444422</v>
      </c>
      <c r="Z67">
        <f ca="1">COUNTIF($M$19:$M66,"&gt;"&amp;$F67)</f>
        <v>1</v>
      </c>
    </row>
    <row r="68" spans="1:26" x14ac:dyDescent="0.3">
      <c r="A68">
        <f t="shared" ca="1" si="4"/>
        <v>49</v>
      </c>
      <c r="B68">
        <f t="shared" ca="1" si="5"/>
        <v>3</v>
      </c>
      <c r="C68" s="40">
        <f t="shared" ca="1" si="6"/>
        <v>2.0833333333333333E-3</v>
      </c>
      <c r="D68">
        <f t="shared" ca="1" si="23"/>
        <v>5</v>
      </c>
      <c r="E68" s="40">
        <f t="shared" ca="1" si="7"/>
        <v>3.472222222222222E-3</v>
      </c>
      <c r="F68" s="40">
        <f t="shared" ca="1" si="24"/>
        <v>0.43611111111111089</v>
      </c>
      <c r="G68" s="40">
        <f t="shared" ca="1" si="8"/>
        <v>2.0833333333333259E-3</v>
      </c>
      <c r="H68" t="str">
        <f t="shared" ca="1" si="25"/>
        <v/>
      </c>
      <c r="I68" s="40" t="str">
        <f t="shared" ca="1" si="26"/>
        <v/>
      </c>
      <c r="J68" s="40">
        <f ca="1">IF(ISTEXT($F68),"",MAX($P$19:P67,$F68))</f>
        <v>0.44166666666666643</v>
      </c>
      <c r="K68" s="40">
        <f ca="1">IF(ISTEXT($F68),"",MAX($R$19:R67,$F68))</f>
        <v>0.43819444444444422</v>
      </c>
      <c r="L68" s="40">
        <f t="shared" ca="1" si="9"/>
        <v>0.44027777777777755</v>
      </c>
      <c r="M68" s="40">
        <f t="shared" ca="1" si="10"/>
        <v>0.43819444444444422</v>
      </c>
      <c r="N68">
        <f t="shared" ca="1" si="11"/>
        <v>2</v>
      </c>
      <c r="O68" s="40" t="str">
        <f t="shared" ca="1" si="12"/>
        <v/>
      </c>
      <c r="P68" s="40">
        <f t="shared" ca="1" si="13"/>
        <v>0.44166666666666643</v>
      </c>
      <c r="Q68" s="40">
        <f t="shared" ca="1" si="14"/>
        <v>0.43819444444444422</v>
      </c>
      <c r="R68" s="40">
        <f t="shared" ca="1" si="15"/>
        <v>0.44166666666666643</v>
      </c>
      <c r="S68" s="40" t="str">
        <f t="shared" ca="1" si="16"/>
        <v/>
      </c>
      <c r="T68" s="40">
        <f t="shared" ca="1" si="17"/>
        <v>0.44027777777777755</v>
      </c>
      <c r="U68" s="40" t="str">
        <f t="shared" ca="1" si="18"/>
        <v/>
      </c>
      <c r="V68" s="40">
        <f t="shared" ca="1" si="19"/>
        <v>0.43819444444444422</v>
      </c>
      <c r="W68" s="40">
        <f t="shared" ca="1" si="20"/>
        <v>5.5555555555555358E-3</v>
      </c>
      <c r="X68" s="40">
        <f t="shared" ca="1" si="21"/>
        <v>5.555555555555548E-3</v>
      </c>
      <c r="Y68" s="40">
        <f t="shared" ca="1" si="22"/>
        <v>0.44166666666666643</v>
      </c>
      <c r="Z68">
        <f ca="1">COUNTIF($M$19:$M67,"&gt;"&amp;$F68)</f>
        <v>0</v>
      </c>
    </row>
    <row r="69" spans="1:26" x14ac:dyDescent="0.3">
      <c r="A69">
        <f t="shared" ca="1" si="4"/>
        <v>50</v>
      </c>
      <c r="B69">
        <f t="shared" ca="1" si="5"/>
        <v>3</v>
      </c>
      <c r="C69" s="40">
        <f t="shared" ca="1" si="6"/>
        <v>2.0833333333333333E-3</v>
      </c>
      <c r="D69">
        <f t="shared" ca="1" si="23"/>
        <v>3</v>
      </c>
      <c r="E69" s="40">
        <f t="shared" ca="1" si="7"/>
        <v>2.0833333333333333E-3</v>
      </c>
      <c r="F69" s="40">
        <f t="shared" ca="1" si="24"/>
        <v>0.43819444444444422</v>
      </c>
      <c r="G69" s="40">
        <f t="shared" ca="1" si="8"/>
        <v>2.0833333333333259E-3</v>
      </c>
      <c r="H69" t="str">
        <f t="shared" ca="1" si="25"/>
        <v/>
      </c>
      <c r="I69" s="40" t="str">
        <f t="shared" ca="1" si="26"/>
        <v/>
      </c>
      <c r="J69" s="40">
        <f ca="1">IF(ISTEXT($F69),"",MAX($P$19:P68,$F69))</f>
        <v>0.44166666666666643</v>
      </c>
      <c r="K69" s="40">
        <f ca="1">IF(ISTEXT($F69),"",MAX($R$19:R68,$F69))</f>
        <v>0.44166666666666643</v>
      </c>
      <c r="L69" s="40">
        <f t="shared" ca="1" si="9"/>
        <v>0.44027777777777755</v>
      </c>
      <c r="M69" s="40">
        <f t="shared" ca="1" si="10"/>
        <v>0.44027777777777755</v>
      </c>
      <c r="N69">
        <f t="shared" ca="1" si="11"/>
        <v>3</v>
      </c>
      <c r="O69" s="40" t="str">
        <f t="shared" ca="1" si="12"/>
        <v/>
      </c>
      <c r="P69" s="40">
        <f t="shared" ca="1" si="13"/>
        <v>0.44166666666666643</v>
      </c>
      <c r="Q69" s="40" t="str">
        <f t="shared" ca="1" si="14"/>
        <v/>
      </c>
      <c r="R69" s="40">
        <f t="shared" ca="1" si="15"/>
        <v>0.44166666666666643</v>
      </c>
      <c r="S69" s="40">
        <f t="shared" ca="1" si="16"/>
        <v>0.44027777777777755</v>
      </c>
      <c r="T69" s="40">
        <f t="shared" ca="1" si="17"/>
        <v>0.44236111111111087</v>
      </c>
      <c r="U69" s="40" t="str">
        <f t="shared" ca="1" si="18"/>
        <v/>
      </c>
      <c r="V69" s="40">
        <f t="shared" ca="1" si="19"/>
        <v>0.44027777777777755</v>
      </c>
      <c r="W69" s="40">
        <f t="shared" ca="1" si="20"/>
        <v>4.1666666666666519E-3</v>
      </c>
      <c r="X69" s="40">
        <f t="shared" ca="1" si="21"/>
        <v>4.1666666666666588E-3</v>
      </c>
      <c r="Y69" s="40">
        <f t="shared" ca="1" si="22"/>
        <v>0.44236111111111087</v>
      </c>
      <c r="Z69">
        <f ca="1">COUNTIF($M$19:$M68,"&gt;"&amp;$F69)</f>
        <v>0</v>
      </c>
    </row>
    <row r="70" spans="1:26" x14ac:dyDescent="0.3">
      <c r="A70">
        <f t="shared" ref="A70:A119" ca="1" si="27">IF(ISTEXT(F70),"закрыто",A69+1)</f>
        <v>51</v>
      </c>
      <c r="B70">
        <f t="shared" ca="1" si="5"/>
        <v>2</v>
      </c>
      <c r="C70" s="40">
        <f t="shared" ref="C70:C119" ca="1" si="28">B70/(60*24)</f>
        <v>1.3888888888888889E-3</v>
      </c>
      <c r="D70">
        <f t="shared" ca="1" si="23"/>
        <v>1</v>
      </c>
      <c r="E70" s="40">
        <f t="shared" ref="E70:E119" ca="1" si="29">D70/1440</f>
        <v>6.9444444444444447E-4</v>
      </c>
      <c r="F70" s="40">
        <f t="shared" ref="F70:F119" ca="1" si="30">IF(ISTEXT(F69),"",IF(F69+C70&gt;=closed,"закрыто",F69+C70))</f>
        <v>0.4395833333333331</v>
      </c>
      <c r="G70" s="40">
        <f t="shared" ref="G70:G119" ca="1" si="31">IF(ISTEXT(F70),"",M70-F70)</f>
        <v>2.0833333333333259E-3</v>
      </c>
      <c r="H70" t="str">
        <f t="shared" ref="H70:H119" ca="1" si="32">IF(G70&gt;(renegat/1440),"ушёл","")</f>
        <v/>
      </c>
      <c r="I70" s="40" t="str">
        <f t="shared" ref="I70:I119" ca="1" si="33">IF(H70="ушёл",F70+(renegat/1440),"")</f>
        <v/>
      </c>
      <c r="J70" s="40">
        <f ca="1">IF(ISTEXT($F70),"",MAX($P$19:P69,$F70))</f>
        <v>0.44166666666666643</v>
      </c>
      <c r="K70" s="40">
        <f ca="1">IF(ISTEXT($F70),"",MAX($R$19:R69,$F70))</f>
        <v>0.44166666666666643</v>
      </c>
      <c r="L70" s="40">
        <f t="shared" ref="L70:L119" ca="1" si="34">IF(ISTEXT($F70),"",MAX(T68:T69,$F70))</f>
        <v>0.44236111111111087</v>
      </c>
      <c r="M70" s="40">
        <f t="shared" ref="M70:M119" ca="1" si="35">IF(ISTEXT(F70),"",MIN(J70:L70))</f>
        <v>0.44166666666666643</v>
      </c>
      <c r="N70">
        <f t="shared" ref="N70:N119" ca="1" si="36">IF(OR(ISTEXT(F70),H70="ушёл"),"",MATCH(M70,J70:L70,0))</f>
        <v>1</v>
      </c>
      <c r="O70" s="40">
        <f t="shared" ref="O70:O119" ca="1" si="37">IF($N70=1,M70,"")</f>
        <v>0.44166666666666643</v>
      </c>
      <c r="P70" s="40">
        <f t="shared" ref="P70:P119" ca="1" si="38">IF($N70=1,O70+$E70,P69)</f>
        <v>0.44236111111111087</v>
      </c>
      <c r="Q70" s="40" t="str">
        <f t="shared" ref="Q70:Q119" ca="1" si="39">IF($N70=2,M70,"")</f>
        <v/>
      </c>
      <c r="R70" s="40">
        <f t="shared" ref="R70:R119" ca="1" si="40">IF($N70=2,Q70+$E70,R69)</f>
        <v>0.44166666666666643</v>
      </c>
      <c r="S70" s="40" t="str">
        <f t="shared" ref="S70:S119" ca="1" si="41">IF($N70=3,M70,"")</f>
        <v/>
      </c>
      <c r="T70" s="40">
        <f t="shared" ref="T70:T119" ca="1" si="42">IF($N70=3,S70+$E70,T69)</f>
        <v>0.44236111111111087</v>
      </c>
      <c r="U70" s="40" t="str">
        <f t="shared" ref="U70:U119" ca="1" si="43">IF(H70="ушёл",I70-F70,"")</f>
        <v/>
      </c>
      <c r="V70" s="40">
        <f t="shared" ref="V70:V119" ca="1" si="44">IF(I70="ушёл","",F70+G70)</f>
        <v>0.44166666666666643</v>
      </c>
      <c r="W70" s="40">
        <f t="shared" ref="W70:W119" ca="1" si="45">Y70-F70</f>
        <v>2.7777777777777679E-3</v>
      </c>
      <c r="X70" s="40">
        <f t="shared" ref="X70:X119" ca="1" si="46">IF(H70="ушёл",W70,$E70+G70)</f>
        <v>2.7777777777777705E-3</v>
      </c>
      <c r="Y70" s="40">
        <f t="shared" ref="Y70:Y119" ca="1" si="47">IF(H70="ушёл",I70,CHOOSE(N70,P70,R70,T70))</f>
        <v>0.44236111111111087</v>
      </c>
      <c r="Z70">
        <f ca="1">COUNTIF($M$19:$M69,"&gt;"&amp;$F70)</f>
        <v>1</v>
      </c>
    </row>
    <row r="71" spans="1:26" x14ac:dyDescent="0.3">
      <c r="A71">
        <f t="shared" ca="1" si="27"/>
        <v>52</v>
      </c>
      <c r="B71">
        <f t="shared" ca="1" si="5"/>
        <v>1</v>
      </c>
      <c r="C71" s="40">
        <f t="shared" ca="1" si="28"/>
        <v>6.9444444444444447E-4</v>
      </c>
      <c r="D71">
        <f t="shared" ca="1" si="23"/>
        <v>10</v>
      </c>
      <c r="E71" s="40">
        <f t="shared" ca="1" si="29"/>
        <v>6.9444444444444441E-3</v>
      </c>
      <c r="F71" s="40">
        <f t="shared" ca="1" si="30"/>
        <v>0.44027777777777755</v>
      </c>
      <c r="G71" s="40">
        <f t="shared" ca="1" si="31"/>
        <v>1.388888888888884E-3</v>
      </c>
      <c r="H71" t="str">
        <f t="shared" ca="1" si="32"/>
        <v/>
      </c>
      <c r="I71" s="40" t="str">
        <f t="shared" ca="1" si="33"/>
        <v/>
      </c>
      <c r="J71" s="40">
        <f ca="1">IF(ISTEXT($F71),"",MAX($P$19:P70,$F71))</f>
        <v>0.44236111111111087</v>
      </c>
      <c r="K71" s="40">
        <f ca="1">IF(ISTEXT($F71),"",MAX($R$19:R70,$F71))</f>
        <v>0.44166666666666643</v>
      </c>
      <c r="L71" s="40">
        <f t="shared" ca="1" si="34"/>
        <v>0.44236111111111087</v>
      </c>
      <c r="M71" s="40">
        <f t="shared" ca="1" si="35"/>
        <v>0.44166666666666643</v>
      </c>
      <c r="N71">
        <f t="shared" ca="1" si="36"/>
        <v>2</v>
      </c>
      <c r="O71" s="40" t="str">
        <f t="shared" ca="1" si="37"/>
        <v/>
      </c>
      <c r="P71" s="40">
        <f t="shared" ca="1" si="38"/>
        <v>0.44236111111111087</v>
      </c>
      <c r="Q71" s="40">
        <f t="shared" ca="1" si="39"/>
        <v>0.44166666666666643</v>
      </c>
      <c r="R71" s="40">
        <f t="shared" ca="1" si="40"/>
        <v>0.44861111111111085</v>
      </c>
      <c r="S71" s="40" t="str">
        <f t="shared" ca="1" si="41"/>
        <v/>
      </c>
      <c r="T71" s="40">
        <f t="shared" ca="1" si="42"/>
        <v>0.44236111111111087</v>
      </c>
      <c r="U71" s="40" t="str">
        <f t="shared" ca="1" si="43"/>
        <v/>
      </c>
      <c r="V71" s="40">
        <f t="shared" ca="1" si="44"/>
        <v>0.44166666666666643</v>
      </c>
      <c r="W71" s="40">
        <f t="shared" ca="1" si="45"/>
        <v>8.3333333333333037E-3</v>
      </c>
      <c r="X71" s="40">
        <f t="shared" ca="1" si="46"/>
        <v>8.333333333333328E-3</v>
      </c>
      <c r="Y71" s="40">
        <f t="shared" ca="1" si="47"/>
        <v>0.44861111111111085</v>
      </c>
      <c r="Z71">
        <f ca="1">COUNTIF($M$19:$M70,"&gt;"&amp;$F71)</f>
        <v>1</v>
      </c>
    </row>
    <row r="72" spans="1:26" x14ac:dyDescent="0.3">
      <c r="A72">
        <f t="shared" ca="1" si="27"/>
        <v>53</v>
      </c>
      <c r="B72">
        <f t="shared" ca="1" si="5"/>
        <v>3</v>
      </c>
      <c r="C72" s="40">
        <f t="shared" ca="1" si="28"/>
        <v>2.0833333333333333E-3</v>
      </c>
      <c r="D72">
        <f t="shared" ca="1" si="23"/>
        <v>3</v>
      </c>
      <c r="E72" s="40">
        <f t="shared" ca="1" si="29"/>
        <v>2.0833333333333333E-3</v>
      </c>
      <c r="F72" s="40">
        <f t="shared" ca="1" si="30"/>
        <v>0.44236111111111087</v>
      </c>
      <c r="G72" s="40">
        <f t="shared" ca="1" si="31"/>
        <v>0</v>
      </c>
      <c r="H72" t="str">
        <f t="shared" ca="1" si="32"/>
        <v/>
      </c>
      <c r="I72" s="40" t="str">
        <f t="shared" ca="1" si="33"/>
        <v/>
      </c>
      <c r="J72" s="40">
        <f ca="1">IF(ISTEXT($F72),"",MAX($P$19:P71,$F72))</f>
        <v>0.44236111111111087</v>
      </c>
      <c r="K72" s="40">
        <f ca="1">IF(ISTEXT($F72),"",MAX($R$19:R71,$F72))</f>
        <v>0.44861111111111085</v>
      </c>
      <c r="L72" s="40">
        <f t="shared" ca="1" si="34"/>
        <v>0.44236111111111087</v>
      </c>
      <c r="M72" s="40">
        <f t="shared" ca="1" si="35"/>
        <v>0.44236111111111087</v>
      </c>
      <c r="N72">
        <f t="shared" ca="1" si="36"/>
        <v>1</v>
      </c>
      <c r="O72" s="40">
        <f t="shared" ca="1" si="37"/>
        <v>0.44236111111111087</v>
      </c>
      <c r="P72" s="40">
        <f t="shared" ca="1" si="38"/>
        <v>0.4444444444444442</v>
      </c>
      <c r="Q72" s="40" t="str">
        <f t="shared" ca="1" si="39"/>
        <v/>
      </c>
      <c r="R72" s="40">
        <f t="shared" ca="1" si="40"/>
        <v>0.44861111111111085</v>
      </c>
      <c r="S72" s="40" t="str">
        <f t="shared" ca="1" si="41"/>
        <v/>
      </c>
      <c r="T72" s="40">
        <f t="shared" ca="1" si="42"/>
        <v>0.44236111111111087</v>
      </c>
      <c r="U72" s="40" t="str">
        <f t="shared" ca="1" si="43"/>
        <v/>
      </c>
      <c r="V72" s="40">
        <f t="shared" ca="1" si="44"/>
        <v>0.44236111111111087</v>
      </c>
      <c r="W72" s="40">
        <f t="shared" ca="1" si="45"/>
        <v>2.0833333333333259E-3</v>
      </c>
      <c r="X72" s="40">
        <f t="shared" ca="1" si="46"/>
        <v>2.0833333333333333E-3</v>
      </c>
      <c r="Y72" s="40">
        <f t="shared" ca="1" si="47"/>
        <v>0.4444444444444442</v>
      </c>
      <c r="Z72">
        <f ca="1">COUNTIF($M$19:$M71,"&gt;"&amp;$F72)</f>
        <v>0</v>
      </c>
    </row>
    <row r="73" spans="1:26" x14ac:dyDescent="0.3">
      <c r="A73">
        <f t="shared" ca="1" si="27"/>
        <v>54</v>
      </c>
      <c r="B73">
        <f t="shared" ca="1" si="5"/>
        <v>3</v>
      </c>
      <c r="C73" s="40">
        <f t="shared" ca="1" si="28"/>
        <v>2.0833333333333333E-3</v>
      </c>
      <c r="D73">
        <f t="shared" ca="1" si="23"/>
        <v>10</v>
      </c>
      <c r="E73" s="40">
        <f t="shared" ca="1" si="29"/>
        <v>6.9444444444444441E-3</v>
      </c>
      <c r="F73" s="40">
        <f t="shared" ca="1" si="30"/>
        <v>0.4444444444444442</v>
      </c>
      <c r="G73" s="40">
        <f t="shared" ca="1" si="31"/>
        <v>0</v>
      </c>
      <c r="H73" t="str">
        <f t="shared" ca="1" si="32"/>
        <v/>
      </c>
      <c r="I73" s="40" t="str">
        <f t="shared" ca="1" si="33"/>
        <v/>
      </c>
      <c r="J73" s="40">
        <f ca="1">IF(ISTEXT($F73),"",MAX($P$19:P72,$F73))</f>
        <v>0.4444444444444442</v>
      </c>
      <c r="K73" s="40">
        <f ca="1">IF(ISTEXT($F73),"",MAX($R$19:R72,$F73))</f>
        <v>0.44861111111111085</v>
      </c>
      <c r="L73" s="40">
        <f t="shared" ca="1" si="34"/>
        <v>0.4444444444444442</v>
      </c>
      <c r="M73" s="40">
        <f t="shared" ca="1" si="35"/>
        <v>0.4444444444444442</v>
      </c>
      <c r="N73">
        <f t="shared" ca="1" si="36"/>
        <v>1</v>
      </c>
      <c r="O73" s="40">
        <f t="shared" ca="1" si="37"/>
        <v>0.4444444444444442</v>
      </c>
      <c r="P73" s="40">
        <f t="shared" ca="1" si="38"/>
        <v>0.45138888888888862</v>
      </c>
      <c r="Q73" s="40" t="str">
        <f t="shared" ca="1" si="39"/>
        <v/>
      </c>
      <c r="R73" s="40">
        <f t="shared" ca="1" si="40"/>
        <v>0.44861111111111085</v>
      </c>
      <c r="S73" s="40" t="str">
        <f t="shared" ca="1" si="41"/>
        <v/>
      </c>
      <c r="T73" s="40">
        <f t="shared" ca="1" si="42"/>
        <v>0.44236111111111087</v>
      </c>
      <c r="U73" s="40" t="str">
        <f t="shared" ca="1" si="43"/>
        <v/>
      </c>
      <c r="V73" s="40">
        <f t="shared" ca="1" si="44"/>
        <v>0.4444444444444442</v>
      </c>
      <c r="W73" s="40">
        <f t="shared" ca="1" si="45"/>
        <v>6.9444444444444198E-3</v>
      </c>
      <c r="X73" s="40">
        <f t="shared" ca="1" si="46"/>
        <v>6.9444444444444441E-3</v>
      </c>
      <c r="Y73" s="40">
        <f t="shared" ca="1" si="47"/>
        <v>0.45138888888888862</v>
      </c>
      <c r="Z73">
        <f ca="1">COUNTIF($M$19:$M72,"&gt;"&amp;$F73)</f>
        <v>0</v>
      </c>
    </row>
    <row r="74" spans="1:26" x14ac:dyDescent="0.3">
      <c r="A74">
        <f t="shared" ca="1" si="27"/>
        <v>55</v>
      </c>
      <c r="B74">
        <f t="shared" ca="1" si="5"/>
        <v>3</v>
      </c>
      <c r="C74" s="40">
        <f t="shared" ca="1" si="28"/>
        <v>2.0833333333333333E-3</v>
      </c>
      <c r="D74">
        <f t="shared" ca="1" si="23"/>
        <v>10</v>
      </c>
      <c r="E74" s="40">
        <f t="shared" ca="1" si="29"/>
        <v>6.9444444444444441E-3</v>
      </c>
      <c r="F74" s="40">
        <f t="shared" ca="1" si="30"/>
        <v>0.44652777777777752</v>
      </c>
      <c r="G74" s="40">
        <f t="shared" ca="1" si="31"/>
        <v>0</v>
      </c>
      <c r="H74" t="str">
        <f t="shared" ca="1" si="32"/>
        <v/>
      </c>
      <c r="I74" s="40" t="str">
        <f t="shared" ca="1" si="33"/>
        <v/>
      </c>
      <c r="J74" s="40">
        <f ca="1">IF(ISTEXT($F74),"",MAX($P$19:P73,$F74))</f>
        <v>0.45138888888888862</v>
      </c>
      <c r="K74" s="40">
        <f ca="1">IF(ISTEXT($F74),"",MAX($R$19:R73,$F74))</f>
        <v>0.44861111111111085</v>
      </c>
      <c r="L74" s="40">
        <f t="shared" ca="1" si="34"/>
        <v>0.44652777777777752</v>
      </c>
      <c r="M74" s="40">
        <f t="shared" ca="1" si="35"/>
        <v>0.44652777777777752</v>
      </c>
      <c r="N74">
        <f t="shared" ca="1" si="36"/>
        <v>3</v>
      </c>
      <c r="O74" s="40" t="str">
        <f t="shared" ca="1" si="37"/>
        <v/>
      </c>
      <c r="P74" s="40">
        <f t="shared" ca="1" si="38"/>
        <v>0.45138888888888862</v>
      </c>
      <c r="Q74" s="40" t="str">
        <f t="shared" ca="1" si="39"/>
        <v/>
      </c>
      <c r="R74" s="40">
        <f t="shared" ca="1" si="40"/>
        <v>0.44861111111111085</v>
      </c>
      <c r="S74" s="40">
        <f t="shared" ca="1" si="41"/>
        <v>0.44652777777777752</v>
      </c>
      <c r="T74" s="40">
        <f t="shared" ca="1" si="42"/>
        <v>0.45347222222222194</v>
      </c>
      <c r="U74" s="40" t="str">
        <f t="shared" ca="1" si="43"/>
        <v/>
      </c>
      <c r="V74" s="40">
        <f t="shared" ca="1" si="44"/>
        <v>0.44652777777777752</v>
      </c>
      <c r="W74" s="40">
        <f t="shared" ca="1" si="45"/>
        <v>6.9444444444444198E-3</v>
      </c>
      <c r="X74" s="40">
        <f t="shared" ca="1" si="46"/>
        <v>6.9444444444444441E-3</v>
      </c>
      <c r="Y74" s="40">
        <f t="shared" ca="1" si="47"/>
        <v>0.45347222222222194</v>
      </c>
      <c r="Z74">
        <f ca="1">COUNTIF($M$19:$M73,"&gt;"&amp;$F74)</f>
        <v>0</v>
      </c>
    </row>
    <row r="75" spans="1:26" x14ac:dyDescent="0.3">
      <c r="A75">
        <f t="shared" ca="1" si="27"/>
        <v>56</v>
      </c>
      <c r="B75">
        <f t="shared" ca="1" si="5"/>
        <v>3</v>
      </c>
      <c r="C75" s="40">
        <f t="shared" ca="1" si="28"/>
        <v>2.0833333333333333E-3</v>
      </c>
      <c r="D75">
        <f t="shared" ca="1" si="23"/>
        <v>3</v>
      </c>
      <c r="E75" s="40">
        <f t="shared" ca="1" si="29"/>
        <v>2.0833333333333333E-3</v>
      </c>
      <c r="F75" s="40">
        <f t="shared" ca="1" si="30"/>
        <v>0.44861111111111085</v>
      </c>
      <c r="G75" s="40">
        <f t="shared" ca="1" si="31"/>
        <v>0</v>
      </c>
      <c r="H75" t="str">
        <f t="shared" ca="1" si="32"/>
        <v/>
      </c>
      <c r="I75" s="40" t="str">
        <f t="shared" ca="1" si="33"/>
        <v/>
      </c>
      <c r="J75" s="40">
        <f ca="1">IF(ISTEXT($F75),"",MAX($P$19:P74,$F75))</f>
        <v>0.45138888888888862</v>
      </c>
      <c r="K75" s="40">
        <f ca="1">IF(ISTEXT($F75),"",MAX($R$19:R74,$F75))</f>
        <v>0.44861111111111085</v>
      </c>
      <c r="L75" s="40">
        <f t="shared" ca="1" si="34"/>
        <v>0.45347222222222194</v>
      </c>
      <c r="M75" s="40">
        <f t="shared" ca="1" si="35"/>
        <v>0.44861111111111085</v>
      </c>
      <c r="N75">
        <f t="shared" ca="1" si="36"/>
        <v>2</v>
      </c>
      <c r="O75" s="40" t="str">
        <f t="shared" ca="1" si="37"/>
        <v/>
      </c>
      <c r="P75" s="40">
        <f t="shared" ca="1" si="38"/>
        <v>0.45138888888888862</v>
      </c>
      <c r="Q75" s="40">
        <f t="shared" ca="1" si="39"/>
        <v>0.44861111111111085</v>
      </c>
      <c r="R75" s="40">
        <f t="shared" ca="1" si="40"/>
        <v>0.45069444444444418</v>
      </c>
      <c r="S75" s="40" t="str">
        <f t="shared" ca="1" si="41"/>
        <v/>
      </c>
      <c r="T75" s="40">
        <f t="shared" ca="1" si="42"/>
        <v>0.45347222222222194</v>
      </c>
      <c r="U75" s="40" t="str">
        <f t="shared" ca="1" si="43"/>
        <v/>
      </c>
      <c r="V75" s="40">
        <f t="shared" ca="1" si="44"/>
        <v>0.44861111111111085</v>
      </c>
      <c r="W75" s="40">
        <f t="shared" ca="1" si="45"/>
        <v>2.0833333333333259E-3</v>
      </c>
      <c r="X75" s="40">
        <f t="shared" ca="1" si="46"/>
        <v>2.0833333333333333E-3</v>
      </c>
      <c r="Y75" s="40">
        <f t="shared" ca="1" si="47"/>
        <v>0.45069444444444418</v>
      </c>
      <c r="Z75">
        <f ca="1">COUNTIF($M$19:$M74,"&gt;"&amp;$F75)</f>
        <v>0</v>
      </c>
    </row>
    <row r="76" spans="1:26" x14ac:dyDescent="0.3">
      <c r="A76">
        <f t="shared" ca="1" si="27"/>
        <v>57</v>
      </c>
      <c r="B76">
        <f t="shared" ca="1" si="5"/>
        <v>1</v>
      </c>
      <c r="C76" s="40">
        <f t="shared" ca="1" si="28"/>
        <v>6.9444444444444447E-4</v>
      </c>
      <c r="D76">
        <f t="shared" ca="1" si="23"/>
        <v>5</v>
      </c>
      <c r="E76" s="40">
        <f t="shared" ca="1" si="29"/>
        <v>3.472222222222222E-3</v>
      </c>
      <c r="F76" s="40">
        <f t="shared" ca="1" si="30"/>
        <v>0.44930555555555529</v>
      </c>
      <c r="G76" s="40">
        <f t="shared" ca="1" si="31"/>
        <v>1.388888888888884E-3</v>
      </c>
      <c r="H76" t="str">
        <f t="shared" ca="1" si="32"/>
        <v/>
      </c>
      <c r="I76" s="40" t="str">
        <f t="shared" ca="1" si="33"/>
        <v/>
      </c>
      <c r="J76" s="40">
        <f ca="1">IF(ISTEXT($F76),"",MAX($P$19:P75,$F76))</f>
        <v>0.45138888888888862</v>
      </c>
      <c r="K76" s="40">
        <f ca="1">IF(ISTEXT($F76),"",MAX($R$19:R75,$F76))</f>
        <v>0.45069444444444418</v>
      </c>
      <c r="L76" s="40">
        <f t="shared" ca="1" si="34"/>
        <v>0.45347222222222194</v>
      </c>
      <c r="M76" s="40">
        <f t="shared" ca="1" si="35"/>
        <v>0.45069444444444418</v>
      </c>
      <c r="N76">
        <f t="shared" ca="1" si="36"/>
        <v>2</v>
      </c>
      <c r="O76" s="40" t="str">
        <f t="shared" ca="1" si="37"/>
        <v/>
      </c>
      <c r="P76" s="40">
        <f t="shared" ca="1" si="38"/>
        <v>0.45138888888888862</v>
      </c>
      <c r="Q76" s="40">
        <f t="shared" ca="1" si="39"/>
        <v>0.45069444444444418</v>
      </c>
      <c r="R76" s="40">
        <f t="shared" ca="1" si="40"/>
        <v>0.45416666666666639</v>
      </c>
      <c r="S76" s="40" t="str">
        <f t="shared" ca="1" si="41"/>
        <v/>
      </c>
      <c r="T76" s="40">
        <f t="shared" ca="1" si="42"/>
        <v>0.45347222222222194</v>
      </c>
      <c r="U76" s="40" t="str">
        <f t="shared" ca="1" si="43"/>
        <v/>
      </c>
      <c r="V76" s="40">
        <f t="shared" ca="1" si="44"/>
        <v>0.45069444444444418</v>
      </c>
      <c r="W76" s="40">
        <f t="shared" ca="1" si="45"/>
        <v>4.8611111111110938E-3</v>
      </c>
      <c r="X76" s="40">
        <f t="shared" ca="1" si="46"/>
        <v>4.861111111111106E-3</v>
      </c>
      <c r="Y76" s="40">
        <f t="shared" ca="1" si="47"/>
        <v>0.45416666666666639</v>
      </c>
      <c r="Z76">
        <f ca="1">COUNTIF($M$19:$M75,"&gt;"&amp;$F76)</f>
        <v>0</v>
      </c>
    </row>
    <row r="77" spans="1:26" x14ac:dyDescent="0.3">
      <c r="A77">
        <f t="shared" ca="1" si="27"/>
        <v>58</v>
      </c>
      <c r="B77">
        <f t="shared" ca="1" si="5"/>
        <v>2</v>
      </c>
      <c r="C77" s="40">
        <f t="shared" ca="1" si="28"/>
        <v>1.3888888888888889E-3</v>
      </c>
      <c r="D77">
        <f t="shared" ca="1" si="23"/>
        <v>3</v>
      </c>
      <c r="E77" s="40">
        <f t="shared" ca="1" si="29"/>
        <v>2.0833333333333333E-3</v>
      </c>
      <c r="F77" s="40">
        <f t="shared" ca="1" si="30"/>
        <v>0.45069444444444418</v>
      </c>
      <c r="G77" s="40">
        <f t="shared" ca="1" si="31"/>
        <v>6.9444444444444198E-4</v>
      </c>
      <c r="H77" t="str">
        <f t="shared" ca="1" si="32"/>
        <v/>
      </c>
      <c r="I77" s="40" t="str">
        <f t="shared" ca="1" si="33"/>
        <v/>
      </c>
      <c r="J77" s="40">
        <f ca="1">IF(ISTEXT($F77),"",MAX($P$19:P76,$F77))</f>
        <v>0.45138888888888862</v>
      </c>
      <c r="K77" s="40">
        <f ca="1">IF(ISTEXT($F77),"",MAX($R$19:R76,$F77))</f>
        <v>0.45416666666666639</v>
      </c>
      <c r="L77" s="40">
        <f t="shared" ca="1" si="34"/>
        <v>0.45347222222222194</v>
      </c>
      <c r="M77" s="40">
        <f t="shared" ca="1" si="35"/>
        <v>0.45138888888888862</v>
      </c>
      <c r="N77">
        <f t="shared" ca="1" si="36"/>
        <v>1</v>
      </c>
      <c r="O77" s="40">
        <f t="shared" ca="1" si="37"/>
        <v>0.45138888888888862</v>
      </c>
      <c r="P77" s="40">
        <f t="shared" ca="1" si="38"/>
        <v>0.45347222222222194</v>
      </c>
      <c r="Q77" s="40" t="str">
        <f t="shared" ca="1" si="39"/>
        <v/>
      </c>
      <c r="R77" s="40">
        <f t="shared" ca="1" si="40"/>
        <v>0.45416666666666639</v>
      </c>
      <c r="S77" s="40" t="str">
        <f t="shared" ca="1" si="41"/>
        <v/>
      </c>
      <c r="T77" s="40">
        <f t="shared" ca="1" si="42"/>
        <v>0.45347222222222194</v>
      </c>
      <c r="U77" s="40" t="str">
        <f t="shared" ca="1" si="43"/>
        <v/>
      </c>
      <c r="V77" s="40">
        <f t="shared" ca="1" si="44"/>
        <v>0.45138888888888862</v>
      </c>
      <c r="W77" s="40">
        <f t="shared" ca="1" si="45"/>
        <v>2.7777777777777679E-3</v>
      </c>
      <c r="X77" s="40">
        <f t="shared" ca="1" si="46"/>
        <v>2.7777777777777753E-3</v>
      </c>
      <c r="Y77" s="40">
        <f t="shared" ca="1" si="47"/>
        <v>0.45347222222222194</v>
      </c>
      <c r="Z77">
        <f ca="1">COUNTIF($M$19:$M76,"&gt;"&amp;$F77)</f>
        <v>0</v>
      </c>
    </row>
    <row r="78" spans="1:26" x14ac:dyDescent="0.3">
      <c r="A78">
        <f t="shared" ca="1" si="27"/>
        <v>59</v>
      </c>
      <c r="B78">
        <f t="shared" ca="1" si="5"/>
        <v>2</v>
      </c>
      <c r="C78" s="40">
        <f t="shared" ca="1" si="28"/>
        <v>1.3888888888888889E-3</v>
      </c>
      <c r="D78">
        <f t="shared" ca="1" si="23"/>
        <v>10</v>
      </c>
      <c r="E78" s="40">
        <f t="shared" ca="1" si="29"/>
        <v>6.9444444444444441E-3</v>
      </c>
      <c r="F78" s="40">
        <f t="shared" ca="1" si="30"/>
        <v>0.45208333333333306</v>
      </c>
      <c r="G78" s="40">
        <f t="shared" ca="1" si="31"/>
        <v>1.388888888888884E-3</v>
      </c>
      <c r="H78" t="str">
        <f t="shared" ca="1" si="32"/>
        <v/>
      </c>
      <c r="I78" s="40" t="str">
        <f t="shared" ca="1" si="33"/>
        <v/>
      </c>
      <c r="J78" s="40">
        <f ca="1">IF(ISTEXT($F78),"",MAX($P$19:P77,$F78))</f>
        <v>0.45347222222222194</v>
      </c>
      <c r="K78" s="40">
        <f ca="1">IF(ISTEXT($F78),"",MAX($R$19:R77,$F78))</f>
        <v>0.45416666666666639</v>
      </c>
      <c r="L78" s="40">
        <f t="shared" ca="1" si="34"/>
        <v>0.45347222222222194</v>
      </c>
      <c r="M78" s="40">
        <f t="shared" ca="1" si="35"/>
        <v>0.45347222222222194</v>
      </c>
      <c r="N78">
        <f t="shared" ca="1" si="36"/>
        <v>1</v>
      </c>
      <c r="O78" s="40">
        <f t="shared" ca="1" si="37"/>
        <v>0.45347222222222194</v>
      </c>
      <c r="P78" s="40">
        <f t="shared" ca="1" si="38"/>
        <v>0.46041666666666636</v>
      </c>
      <c r="Q78" s="40" t="str">
        <f t="shared" ca="1" si="39"/>
        <v/>
      </c>
      <c r="R78" s="40">
        <f t="shared" ca="1" si="40"/>
        <v>0.45416666666666639</v>
      </c>
      <c r="S78" s="40" t="str">
        <f t="shared" ca="1" si="41"/>
        <v/>
      </c>
      <c r="T78" s="40">
        <f t="shared" ca="1" si="42"/>
        <v>0.45347222222222194</v>
      </c>
      <c r="U78" s="40" t="str">
        <f t="shared" ca="1" si="43"/>
        <v/>
      </c>
      <c r="V78" s="40">
        <f t="shared" ca="1" si="44"/>
        <v>0.45347222222222194</v>
      </c>
      <c r="W78" s="40">
        <f t="shared" ca="1" si="45"/>
        <v>8.3333333333333037E-3</v>
      </c>
      <c r="X78" s="40">
        <f t="shared" ca="1" si="46"/>
        <v>8.333333333333328E-3</v>
      </c>
      <c r="Y78" s="40">
        <f t="shared" ca="1" si="47"/>
        <v>0.46041666666666636</v>
      </c>
      <c r="Z78">
        <f ca="1">COUNTIF($M$19:$M77,"&gt;"&amp;$F78)</f>
        <v>0</v>
      </c>
    </row>
    <row r="79" spans="1:26" x14ac:dyDescent="0.3">
      <c r="A79">
        <f t="shared" ca="1" si="27"/>
        <v>60</v>
      </c>
      <c r="B79">
        <f t="shared" ca="1" si="5"/>
        <v>2</v>
      </c>
      <c r="C79" s="40">
        <f t="shared" ca="1" si="28"/>
        <v>1.3888888888888889E-3</v>
      </c>
      <c r="D79">
        <f t="shared" ca="1" si="23"/>
        <v>10</v>
      </c>
      <c r="E79" s="40">
        <f t="shared" ca="1" si="29"/>
        <v>6.9444444444444441E-3</v>
      </c>
      <c r="F79" s="40">
        <f t="shared" ca="1" si="30"/>
        <v>0.45347222222222194</v>
      </c>
      <c r="G79" s="40">
        <f t="shared" ca="1" si="31"/>
        <v>0</v>
      </c>
      <c r="H79" t="str">
        <f t="shared" ca="1" si="32"/>
        <v/>
      </c>
      <c r="I79" s="40" t="str">
        <f t="shared" ca="1" si="33"/>
        <v/>
      </c>
      <c r="J79" s="40">
        <f ca="1">IF(ISTEXT($F79),"",MAX($P$19:P78,$F79))</f>
        <v>0.46041666666666636</v>
      </c>
      <c r="K79" s="40">
        <f ca="1">IF(ISTEXT($F79),"",MAX($R$19:R78,$F79))</f>
        <v>0.45416666666666639</v>
      </c>
      <c r="L79" s="40">
        <f t="shared" ca="1" si="34"/>
        <v>0.45347222222222194</v>
      </c>
      <c r="M79" s="40">
        <f t="shared" ca="1" si="35"/>
        <v>0.45347222222222194</v>
      </c>
      <c r="N79">
        <f t="shared" ca="1" si="36"/>
        <v>3</v>
      </c>
      <c r="O79" s="40" t="str">
        <f t="shared" ca="1" si="37"/>
        <v/>
      </c>
      <c r="P79" s="40">
        <f t="shared" ca="1" si="38"/>
        <v>0.46041666666666636</v>
      </c>
      <c r="Q79" s="40" t="str">
        <f t="shared" ca="1" si="39"/>
        <v/>
      </c>
      <c r="R79" s="40">
        <f t="shared" ca="1" si="40"/>
        <v>0.45416666666666639</v>
      </c>
      <c r="S79" s="40">
        <f t="shared" ca="1" si="41"/>
        <v>0.45347222222222194</v>
      </c>
      <c r="T79" s="40">
        <f t="shared" ca="1" si="42"/>
        <v>0.46041666666666636</v>
      </c>
      <c r="U79" s="40" t="str">
        <f t="shared" ca="1" si="43"/>
        <v/>
      </c>
      <c r="V79" s="40">
        <f t="shared" ca="1" si="44"/>
        <v>0.45347222222222194</v>
      </c>
      <c r="W79" s="40">
        <f t="shared" ca="1" si="45"/>
        <v>6.9444444444444198E-3</v>
      </c>
      <c r="X79" s="40">
        <f t="shared" ca="1" si="46"/>
        <v>6.9444444444444441E-3</v>
      </c>
      <c r="Y79" s="40">
        <f t="shared" ca="1" si="47"/>
        <v>0.46041666666666636</v>
      </c>
      <c r="Z79">
        <f ca="1">COUNTIF($M$19:$M78,"&gt;"&amp;$F79)</f>
        <v>0</v>
      </c>
    </row>
    <row r="80" spans="1:26" x14ac:dyDescent="0.3">
      <c r="A80">
        <f t="shared" ca="1" si="27"/>
        <v>61</v>
      </c>
      <c r="B80">
        <f t="shared" ca="1" si="5"/>
        <v>2</v>
      </c>
      <c r="C80" s="40">
        <f t="shared" ca="1" si="28"/>
        <v>1.3888888888888889E-3</v>
      </c>
      <c r="D80">
        <f t="shared" ca="1" si="23"/>
        <v>5</v>
      </c>
      <c r="E80" s="40">
        <f t="shared" ca="1" si="29"/>
        <v>3.472222222222222E-3</v>
      </c>
      <c r="F80" s="40">
        <f t="shared" ca="1" si="30"/>
        <v>0.45486111111111083</v>
      </c>
      <c r="G80" s="40">
        <f t="shared" ca="1" si="31"/>
        <v>0</v>
      </c>
      <c r="H80" t="str">
        <f t="shared" ca="1" si="32"/>
        <v/>
      </c>
      <c r="I80" s="40" t="str">
        <f t="shared" ca="1" si="33"/>
        <v/>
      </c>
      <c r="J80" s="40">
        <f ca="1">IF(ISTEXT($F80),"",MAX($P$19:P79,$F80))</f>
        <v>0.46041666666666636</v>
      </c>
      <c r="K80" s="40">
        <f ca="1">IF(ISTEXT($F80),"",MAX($R$19:R79,$F80))</f>
        <v>0.45486111111111083</v>
      </c>
      <c r="L80" s="40">
        <f t="shared" ca="1" si="34"/>
        <v>0.46041666666666636</v>
      </c>
      <c r="M80" s="40">
        <f t="shared" ca="1" si="35"/>
        <v>0.45486111111111083</v>
      </c>
      <c r="N80">
        <f t="shared" ca="1" si="36"/>
        <v>2</v>
      </c>
      <c r="O80" s="40" t="str">
        <f t="shared" ca="1" si="37"/>
        <v/>
      </c>
      <c r="P80" s="40">
        <f t="shared" ca="1" si="38"/>
        <v>0.46041666666666636</v>
      </c>
      <c r="Q80" s="40">
        <f t="shared" ca="1" si="39"/>
        <v>0.45486111111111083</v>
      </c>
      <c r="R80" s="40">
        <f t="shared" ca="1" si="40"/>
        <v>0.45833333333333304</v>
      </c>
      <c r="S80" s="40" t="str">
        <f t="shared" ca="1" si="41"/>
        <v/>
      </c>
      <c r="T80" s="40">
        <f t="shared" ca="1" si="42"/>
        <v>0.46041666666666636</v>
      </c>
      <c r="U80" s="40" t="str">
        <f t="shared" ca="1" si="43"/>
        <v/>
      </c>
      <c r="V80" s="40">
        <f t="shared" ca="1" si="44"/>
        <v>0.45486111111111083</v>
      </c>
      <c r="W80" s="40">
        <f t="shared" ca="1" si="45"/>
        <v>3.4722222222222099E-3</v>
      </c>
      <c r="X80" s="40">
        <f t="shared" ca="1" si="46"/>
        <v>3.472222222222222E-3</v>
      </c>
      <c r="Y80" s="40">
        <f t="shared" ca="1" si="47"/>
        <v>0.45833333333333304</v>
      </c>
      <c r="Z80">
        <f ca="1">COUNTIF($M$19:$M79,"&gt;"&amp;$F80)</f>
        <v>0</v>
      </c>
    </row>
    <row r="81" spans="1:26" x14ac:dyDescent="0.3">
      <c r="A81">
        <f t="shared" ca="1" si="27"/>
        <v>62</v>
      </c>
      <c r="B81">
        <f t="shared" ca="1" si="5"/>
        <v>1</v>
      </c>
      <c r="C81" s="40">
        <f t="shared" ca="1" si="28"/>
        <v>6.9444444444444447E-4</v>
      </c>
      <c r="D81">
        <f t="shared" ca="1" si="23"/>
        <v>5</v>
      </c>
      <c r="E81" s="40">
        <f t="shared" ca="1" si="29"/>
        <v>3.472222222222222E-3</v>
      </c>
      <c r="F81" s="40">
        <f t="shared" ca="1" si="30"/>
        <v>0.45555555555555527</v>
      </c>
      <c r="G81" s="40">
        <f t="shared" ca="1" si="31"/>
        <v>2.7777777777777679E-3</v>
      </c>
      <c r="H81" t="str">
        <f t="shared" ca="1" si="32"/>
        <v/>
      </c>
      <c r="I81" s="40" t="str">
        <f t="shared" ca="1" si="33"/>
        <v/>
      </c>
      <c r="J81" s="40">
        <f ca="1">IF(ISTEXT($F81),"",MAX($P$19:P80,$F81))</f>
        <v>0.46041666666666636</v>
      </c>
      <c r="K81" s="40">
        <f ca="1">IF(ISTEXT($F81),"",MAX($R$19:R80,$F81))</f>
        <v>0.45833333333333304</v>
      </c>
      <c r="L81" s="40">
        <f t="shared" ca="1" si="34"/>
        <v>0.46041666666666636</v>
      </c>
      <c r="M81" s="40">
        <f t="shared" ca="1" si="35"/>
        <v>0.45833333333333304</v>
      </c>
      <c r="N81">
        <f t="shared" ca="1" si="36"/>
        <v>2</v>
      </c>
      <c r="O81" s="40" t="str">
        <f t="shared" ca="1" si="37"/>
        <v/>
      </c>
      <c r="P81" s="40">
        <f t="shared" ca="1" si="38"/>
        <v>0.46041666666666636</v>
      </c>
      <c r="Q81" s="40">
        <f t="shared" ca="1" si="39"/>
        <v>0.45833333333333304</v>
      </c>
      <c r="R81" s="40">
        <f t="shared" ca="1" si="40"/>
        <v>0.46180555555555525</v>
      </c>
      <c r="S81" s="40" t="str">
        <f t="shared" ca="1" si="41"/>
        <v/>
      </c>
      <c r="T81" s="40">
        <f t="shared" ca="1" si="42"/>
        <v>0.46041666666666636</v>
      </c>
      <c r="U81" s="40" t="str">
        <f t="shared" ca="1" si="43"/>
        <v/>
      </c>
      <c r="V81" s="40">
        <f t="shared" ca="1" si="44"/>
        <v>0.45833333333333304</v>
      </c>
      <c r="W81" s="40">
        <f t="shared" ca="1" si="45"/>
        <v>6.2499999999999778E-3</v>
      </c>
      <c r="X81" s="40">
        <f t="shared" ca="1" si="46"/>
        <v>6.2499999999999899E-3</v>
      </c>
      <c r="Y81" s="40">
        <f t="shared" ca="1" si="47"/>
        <v>0.46180555555555525</v>
      </c>
      <c r="Z81">
        <f ca="1">COUNTIF($M$19:$M80,"&gt;"&amp;$F81)</f>
        <v>0</v>
      </c>
    </row>
    <row r="82" spans="1:26" x14ac:dyDescent="0.3">
      <c r="A82">
        <f t="shared" ca="1" si="27"/>
        <v>63</v>
      </c>
      <c r="B82">
        <f t="shared" ca="1" si="5"/>
        <v>1</v>
      </c>
      <c r="C82" s="40">
        <f t="shared" ca="1" si="28"/>
        <v>6.9444444444444447E-4</v>
      </c>
      <c r="D82">
        <f t="shared" ca="1" si="23"/>
        <v>10</v>
      </c>
      <c r="E82" s="40">
        <f t="shared" ca="1" si="29"/>
        <v>6.9444444444444441E-3</v>
      </c>
      <c r="F82" s="40">
        <f t="shared" ca="1" si="30"/>
        <v>0.45624999999999971</v>
      </c>
      <c r="G82" s="40">
        <f t="shared" ca="1" si="31"/>
        <v>4.1666666666666519E-3</v>
      </c>
      <c r="H82" t="str">
        <f t="shared" ca="1" si="32"/>
        <v>ушёл</v>
      </c>
      <c r="I82" s="40">
        <f t="shared" ca="1" si="33"/>
        <v>0.45902777777777748</v>
      </c>
      <c r="J82" s="40">
        <f ca="1">IF(ISTEXT($F82),"",MAX($P$19:P81,$F82))</f>
        <v>0.46041666666666636</v>
      </c>
      <c r="K82" s="40">
        <f ca="1">IF(ISTEXT($F82),"",MAX($R$19:R81,$F82))</f>
        <v>0.46180555555555525</v>
      </c>
      <c r="L82" s="40">
        <f t="shared" ca="1" si="34"/>
        <v>0.46041666666666636</v>
      </c>
      <c r="M82" s="40">
        <f t="shared" ca="1" si="35"/>
        <v>0.46041666666666636</v>
      </c>
      <c r="N82" t="str">
        <f t="shared" ca="1" si="36"/>
        <v/>
      </c>
      <c r="O82" s="40" t="str">
        <f t="shared" ca="1" si="37"/>
        <v/>
      </c>
      <c r="P82" s="40">
        <f t="shared" ca="1" si="38"/>
        <v>0.46041666666666636</v>
      </c>
      <c r="Q82" s="40" t="str">
        <f t="shared" ca="1" si="39"/>
        <v/>
      </c>
      <c r="R82" s="40">
        <f t="shared" ca="1" si="40"/>
        <v>0.46180555555555525</v>
      </c>
      <c r="S82" s="40" t="str">
        <f t="shared" ca="1" si="41"/>
        <v/>
      </c>
      <c r="T82" s="40">
        <f t="shared" ca="1" si="42"/>
        <v>0.46041666666666636</v>
      </c>
      <c r="U82" s="40">
        <f t="shared" ca="1" si="43"/>
        <v>2.7777777777777679E-3</v>
      </c>
      <c r="V82" s="40">
        <f t="shared" ca="1" si="44"/>
        <v>0.46041666666666636</v>
      </c>
      <c r="W82" s="40">
        <f t="shared" ca="1" si="45"/>
        <v>2.7777777777777679E-3</v>
      </c>
      <c r="X82" s="40">
        <f t="shared" ca="1" si="46"/>
        <v>2.7777777777777679E-3</v>
      </c>
      <c r="Y82" s="40">
        <f t="shared" ca="1" si="47"/>
        <v>0.45902777777777748</v>
      </c>
      <c r="Z82">
        <f ca="1">COUNTIF($M$19:$M81,"&gt;"&amp;$F82)</f>
        <v>1</v>
      </c>
    </row>
    <row r="83" spans="1:26" x14ac:dyDescent="0.3">
      <c r="A83">
        <f t="shared" ca="1" si="27"/>
        <v>64</v>
      </c>
      <c r="B83">
        <f t="shared" ca="1" si="5"/>
        <v>1</v>
      </c>
      <c r="C83" s="40">
        <f t="shared" ca="1" si="28"/>
        <v>6.9444444444444447E-4</v>
      </c>
      <c r="D83">
        <f t="shared" ca="1" si="23"/>
        <v>10</v>
      </c>
      <c r="E83" s="40">
        <f t="shared" ca="1" si="29"/>
        <v>6.9444444444444441E-3</v>
      </c>
      <c r="F83" s="40">
        <f t="shared" ca="1" si="30"/>
        <v>0.45694444444444415</v>
      </c>
      <c r="G83" s="40">
        <f t="shared" ca="1" si="31"/>
        <v>3.4722222222222099E-3</v>
      </c>
      <c r="H83" t="str">
        <f t="shared" ca="1" si="32"/>
        <v>ушёл</v>
      </c>
      <c r="I83" s="40">
        <f t="shared" ca="1" si="33"/>
        <v>0.45972222222222192</v>
      </c>
      <c r="J83" s="40">
        <f ca="1">IF(ISTEXT($F83),"",MAX($P$19:P82,$F83))</f>
        <v>0.46041666666666636</v>
      </c>
      <c r="K83" s="40">
        <f ca="1">IF(ISTEXT($F83),"",MAX($R$19:R82,$F83))</f>
        <v>0.46180555555555525</v>
      </c>
      <c r="L83" s="40">
        <f t="shared" ca="1" si="34"/>
        <v>0.46041666666666636</v>
      </c>
      <c r="M83" s="40">
        <f t="shared" ca="1" si="35"/>
        <v>0.46041666666666636</v>
      </c>
      <c r="N83" t="str">
        <f t="shared" ca="1" si="36"/>
        <v/>
      </c>
      <c r="O83" s="40" t="str">
        <f t="shared" ca="1" si="37"/>
        <v/>
      </c>
      <c r="P83" s="40">
        <f t="shared" ca="1" si="38"/>
        <v>0.46041666666666636</v>
      </c>
      <c r="Q83" s="40" t="str">
        <f t="shared" ca="1" si="39"/>
        <v/>
      </c>
      <c r="R83" s="40">
        <f t="shared" ca="1" si="40"/>
        <v>0.46180555555555525</v>
      </c>
      <c r="S83" s="40" t="str">
        <f t="shared" ca="1" si="41"/>
        <v/>
      </c>
      <c r="T83" s="40">
        <f t="shared" ca="1" si="42"/>
        <v>0.46041666666666636</v>
      </c>
      <c r="U83" s="40">
        <f t="shared" ca="1" si="43"/>
        <v>2.7777777777777679E-3</v>
      </c>
      <c r="V83" s="40">
        <f t="shared" ca="1" si="44"/>
        <v>0.46041666666666636</v>
      </c>
      <c r="W83" s="40">
        <f t="shared" ca="1" si="45"/>
        <v>2.7777777777777679E-3</v>
      </c>
      <c r="X83" s="40">
        <f t="shared" ca="1" si="46"/>
        <v>2.7777777777777679E-3</v>
      </c>
      <c r="Y83" s="40">
        <f t="shared" ca="1" si="47"/>
        <v>0.45972222222222192</v>
      </c>
      <c r="Z83">
        <f ca="1">COUNTIF($M$19:$M82,"&gt;"&amp;$F83)</f>
        <v>2</v>
      </c>
    </row>
    <row r="84" spans="1:26" x14ac:dyDescent="0.3">
      <c r="A84">
        <f t="shared" ca="1" si="27"/>
        <v>65</v>
      </c>
      <c r="B84">
        <f t="shared" ca="1" si="5"/>
        <v>2</v>
      </c>
      <c r="C84" s="40">
        <f t="shared" ca="1" si="28"/>
        <v>1.3888888888888889E-3</v>
      </c>
      <c r="D84">
        <f t="shared" ca="1" si="23"/>
        <v>10</v>
      </c>
      <c r="E84" s="40">
        <f t="shared" ca="1" si="29"/>
        <v>6.9444444444444441E-3</v>
      </c>
      <c r="F84" s="40">
        <f t="shared" ca="1" si="30"/>
        <v>0.45833333333333304</v>
      </c>
      <c r="G84" s="40">
        <f t="shared" ca="1" si="31"/>
        <v>2.0833333333333259E-3</v>
      </c>
      <c r="H84" t="str">
        <f t="shared" ca="1" si="32"/>
        <v/>
      </c>
      <c r="I84" s="40" t="str">
        <f t="shared" ca="1" si="33"/>
        <v/>
      </c>
      <c r="J84" s="40">
        <f ca="1">IF(ISTEXT($F84),"",MAX($P$19:P83,$F84))</f>
        <v>0.46041666666666636</v>
      </c>
      <c r="K84" s="40">
        <f ca="1">IF(ISTEXT($F84),"",MAX($R$19:R83,$F84))</f>
        <v>0.46180555555555525</v>
      </c>
      <c r="L84" s="40">
        <f t="shared" ca="1" si="34"/>
        <v>0.46041666666666636</v>
      </c>
      <c r="M84" s="40">
        <f t="shared" ca="1" si="35"/>
        <v>0.46041666666666636</v>
      </c>
      <c r="N84">
        <f t="shared" ca="1" si="36"/>
        <v>1</v>
      </c>
      <c r="O84" s="40">
        <f t="shared" ca="1" si="37"/>
        <v>0.46041666666666636</v>
      </c>
      <c r="P84" s="40">
        <f t="shared" ca="1" si="38"/>
        <v>0.46736111111111078</v>
      </c>
      <c r="Q84" s="40" t="str">
        <f t="shared" ca="1" si="39"/>
        <v/>
      </c>
      <c r="R84" s="40">
        <f t="shared" ca="1" si="40"/>
        <v>0.46180555555555525</v>
      </c>
      <c r="S84" s="40" t="str">
        <f t="shared" ca="1" si="41"/>
        <v/>
      </c>
      <c r="T84" s="40">
        <f t="shared" ca="1" si="42"/>
        <v>0.46041666666666636</v>
      </c>
      <c r="U84" s="40" t="str">
        <f t="shared" ca="1" si="43"/>
        <v/>
      </c>
      <c r="V84" s="40">
        <f t="shared" ca="1" si="44"/>
        <v>0.46041666666666636</v>
      </c>
      <c r="W84" s="40">
        <f t="shared" ca="1" si="45"/>
        <v>9.0277777777777457E-3</v>
      </c>
      <c r="X84" s="40">
        <f t="shared" ca="1" si="46"/>
        <v>9.02777777777777E-3</v>
      </c>
      <c r="Y84" s="40">
        <f t="shared" ca="1" si="47"/>
        <v>0.46736111111111078</v>
      </c>
      <c r="Z84">
        <f ca="1">COUNTIF($M$19:$M83,"&gt;"&amp;$F84)</f>
        <v>2</v>
      </c>
    </row>
    <row r="85" spans="1:26" x14ac:dyDescent="0.3">
      <c r="A85">
        <f t="shared" ca="1" si="27"/>
        <v>66</v>
      </c>
      <c r="B85">
        <f t="shared" ca="1" si="5"/>
        <v>1</v>
      </c>
      <c r="C85" s="40">
        <f t="shared" ca="1" si="28"/>
        <v>6.9444444444444447E-4</v>
      </c>
      <c r="D85">
        <f t="shared" ca="1" si="23"/>
        <v>5</v>
      </c>
      <c r="E85" s="40">
        <f t="shared" ca="1" si="29"/>
        <v>3.472222222222222E-3</v>
      </c>
      <c r="F85" s="40">
        <f t="shared" ca="1" si="30"/>
        <v>0.45902777777777748</v>
      </c>
      <c r="G85" s="40">
        <f t="shared" ca="1" si="31"/>
        <v>1.388888888888884E-3</v>
      </c>
      <c r="H85" t="str">
        <f t="shared" ca="1" si="32"/>
        <v/>
      </c>
      <c r="I85" s="40" t="str">
        <f t="shared" ca="1" si="33"/>
        <v/>
      </c>
      <c r="J85" s="40">
        <f ca="1">IF(ISTEXT($F85),"",MAX($P$19:P84,$F85))</f>
        <v>0.46736111111111078</v>
      </c>
      <c r="K85" s="40">
        <f ca="1">IF(ISTEXT($F85),"",MAX($R$19:R84,$F85))</f>
        <v>0.46180555555555525</v>
      </c>
      <c r="L85" s="40">
        <f t="shared" ca="1" si="34"/>
        <v>0.46041666666666636</v>
      </c>
      <c r="M85" s="40">
        <f t="shared" ca="1" si="35"/>
        <v>0.46041666666666636</v>
      </c>
      <c r="N85">
        <f t="shared" ca="1" si="36"/>
        <v>3</v>
      </c>
      <c r="O85" s="40" t="str">
        <f t="shared" ca="1" si="37"/>
        <v/>
      </c>
      <c r="P85" s="40">
        <f t="shared" ca="1" si="38"/>
        <v>0.46736111111111078</v>
      </c>
      <c r="Q85" s="40" t="str">
        <f t="shared" ca="1" si="39"/>
        <v/>
      </c>
      <c r="R85" s="40">
        <f t="shared" ca="1" si="40"/>
        <v>0.46180555555555525</v>
      </c>
      <c r="S85" s="40">
        <f t="shared" ca="1" si="41"/>
        <v>0.46041666666666636</v>
      </c>
      <c r="T85" s="40">
        <f t="shared" ca="1" si="42"/>
        <v>0.46388888888888857</v>
      </c>
      <c r="U85" s="40" t="str">
        <f t="shared" ca="1" si="43"/>
        <v/>
      </c>
      <c r="V85" s="40">
        <f t="shared" ca="1" si="44"/>
        <v>0.46041666666666636</v>
      </c>
      <c r="W85" s="40">
        <f t="shared" ca="1" si="45"/>
        <v>4.8611111111110938E-3</v>
      </c>
      <c r="X85" s="40">
        <f t="shared" ca="1" si="46"/>
        <v>4.861111111111106E-3</v>
      </c>
      <c r="Y85" s="40">
        <f t="shared" ca="1" si="47"/>
        <v>0.46388888888888857</v>
      </c>
      <c r="Z85">
        <f ca="1">COUNTIF($M$19:$M84,"&gt;"&amp;$F85)</f>
        <v>3</v>
      </c>
    </row>
    <row r="86" spans="1:26" x14ac:dyDescent="0.3">
      <c r="A86">
        <f t="shared" ca="1" si="27"/>
        <v>67</v>
      </c>
      <c r="B86">
        <f t="shared" ref="B86:B119" ca="1" si="48">RANDBETWEEN(1,3)</f>
        <v>3</v>
      </c>
      <c r="C86" s="40">
        <f t="shared" ca="1" si="28"/>
        <v>2.0833333333333333E-3</v>
      </c>
      <c r="D86">
        <f t="shared" ca="1" si="23"/>
        <v>3</v>
      </c>
      <c r="E86" s="40">
        <f t="shared" ca="1" si="29"/>
        <v>2.0833333333333333E-3</v>
      </c>
      <c r="F86" s="40">
        <f t="shared" ca="1" si="30"/>
        <v>0.46111111111111081</v>
      </c>
      <c r="G86" s="40">
        <f t="shared" ca="1" si="31"/>
        <v>6.9444444444444198E-4</v>
      </c>
      <c r="H86" t="str">
        <f t="shared" ca="1" si="32"/>
        <v/>
      </c>
      <c r="I86" s="40" t="str">
        <f t="shared" ca="1" si="33"/>
        <v/>
      </c>
      <c r="J86" s="40">
        <f ca="1">IF(ISTEXT($F86),"",MAX($P$19:P85,$F86))</f>
        <v>0.46736111111111078</v>
      </c>
      <c r="K86" s="40">
        <f ca="1">IF(ISTEXT($F86),"",MAX($R$19:R85,$F86))</f>
        <v>0.46180555555555525</v>
      </c>
      <c r="L86" s="40">
        <f t="shared" ca="1" si="34"/>
        <v>0.46388888888888857</v>
      </c>
      <c r="M86" s="40">
        <f t="shared" ca="1" si="35"/>
        <v>0.46180555555555525</v>
      </c>
      <c r="N86">
        <f t="shared" ca="1" si="36"/>
        <v>2</v>
      </c>
      <c r="O86" s="40" t="str">
        <f t="shared" ca="1" si="37"/>
        <v/>
      </c>
      <c r="P86" s="40">
        <f t="shared" ca="1" si="38"/>
        <v>0.46736111111111078</v>
      </c>
      <c r="Q86" s="40">
        <f t="shared" ca="1" si="39"/>
        <v>0.46180555555555525</v>
      </c>
      <c r="R86" s="40">
        <f t="shared" ca="1" si="40"/>
        <v>0.46388888888888857</v>
      </c>
      <c r="S86" s="40" t="str">
        <f t="shared" ca="1" si="41"/>
        <v/>
      </c>
      <c r="T86" s="40">
        <f t="shared" ca="1" si="42"/>
        <v>0.46388888888888857</v>
      </c>
      <c r="U86" s="40" t="str">
        <f t="shared" ca="1" si="43"/>
        <v/>
      </c>
      <c r="V86" s="40">
        <f t="shared" ca="1" si="44"/>
        <v>0.46180555555555525</v>
      </c>
      <c r="W86" s="40">
        <f t="shared" ca="1" si="45"/>
        <v>2.7777777777777679E-3</v>
      </c>
      <c r="X86" s="40">
        <f t="shared" ca="1" si="46"/>
        <v>2.7777777777777753E-3</v>
      </c>
      <c r="Y86" s="40">
        <f t="shared" ca="1" si="47"/>
        <v>0.46388888888888857</v>
      </c>
      <c r="Z86">
        <f ca="1">COUNTIF($M$19:$M85,"&gt;"&amp;$F86)</f>
        <v>0</v>
      </c>
    </row>
    <row r="87" spans="1:26" x14ac:dyDescent="0.3">
      <c r="A87">
        <f t="shared" ca="1" si="27"/>
        <v>68</v>
      </c>
      <c r="B87">
        <f t="shared" ca="1" si="48"/>
        <v>2</v>
      </c>
      <c r="C87" s="40">
        <f t="shared" ca="1" si="28"/>
        <v>1.3888888888888889E-3</v>
      </c>
      <c r="D87">
        <f t="shared" ca="1" si="23"/>
        <v>10</v>
      </c>
      <c r="E87" s="40">
        <f t="shared" ca="1" si="29"/>
        <v>6.9444444444444441E-3</v>
      </c>
      <c r="F87" s="40">
        <f t="shared" ca="1" si="30"/>
        <v>0.46249999999999969</v>
      </c>
      <c r="G87" s="40">
        <f t="shared" ca="1" si="31"/>
        <v>1.388888888888884E-3</v>
      </c>
      <c r="H87" t="str">
        <f t="shared" ca="1" si="32"/>
        <v/>
      </c>
      <c r="I87" s="40" t="str">
        <f t="shared" ca="1" si="33"/>
        <v/>
      </c>
      <c r="J87" s="40">
        <f ca="1">IF(ISTEXT($F87),"",MAX($P$19:P86,$F87))</f>
        <v>0.46736111111111078</v>
      </c>
      <c r="K87" s="40">
        <f ca="1">IF(ISTEXT($F87),"",MAX($R$19:R86,$F87))</f>
        <v>0.46388888888888857</v>
      </c>
      <c r="L87" s="40">
        <f t="shared" ca="1" si="34"/>
        <v>0.46388888888888857</v>
      </c>
      <c r="M87" s="40">
        <f t="shared" ca="1" si="35"/>
        <v>0.46388888888888857</v>
      </c>
      <c r="N87">
        <f t="shared" ca="1" si="36"/>
        <v>2</v>
      </c>
      <c r="O87" s="40" t="str">
        <f t="shared" ca="1" si="37"/>
        <v/>
      </c>
      <c r="P87" s="40">
        <f t="shared" ca="1" si="38"/>
        <v>0.46736111111111078</v>
      </c>
      <c r="Q87" s="40">
        <f t="shared" ca="1" si="39"/>
        <v>0.46388888888888857</v>
      </c>
      <c r="R87" s="40">
        <f t="shared" ca="1" si="40"/>
        <v>0.47083333333333299</v>
      </c>
      <c r="S87" s="40" t="str">
        <f t="shared" ca="1" si="41"/>
        <v/>
      </c>
      <c r="T87" s="40">
        <f t="shared" ca="1" si="42"/>
        <v>0.46388888888888857</v>
      </c>
      <c r="U87" s="40" t="str">
        <f t="shared" ca="1" si="43"/>
        <v/>
      </c>
      <c r="V87" s="40">
        <f t="shared" ca="1" si="44"/>
        <v>0.46388888888888857</v>
      </c>
      <c r="W87" s="40">
        <f t="shared" ca="1" si="45"/>
        <v>8.3333333333333037E-3</v>
      </c>
      <c r="X87" s="40">
        <f t="shared" ca="1" si="46"/>
        <v>8.333333333333328E-3</v>
      </c>
      <c r="Y87" s="40">
        <f t="shared" ca="1" si="47"/>
        <v>0.47083333333333299</v>
      </c>
      <c r="Z87">
        <f ca="1">COUNTIF($M$19:$M86,"&gt;"&amp;$F87)</f>
        <v>0</v>
      </c>
    </row>
    <row r="88" spans="1:26" x14ac:dyDescent="0.3">
      <c r="A88">
        <f t="shared" ca="1" si="27"/>
        <v>69</v>
      </c>
      <c r="B88">
        <f t="shared" ca="1" si="48"/>
        <v>1</v>
      </c>
      <c r="C88" s="40">
        <f t="shared" ca="1" si="28"/>
        <v>6.9444444444444447E-4</v>
      </c>
      <c r="D88">
        <f t="shared" ca="1" si="23"/>
        <v>10</v>
      </c>
      <c r="E88" s="40">
        <f t="shared" ca="1" si="29"/>
        <v>6.9444444444444441E-3</v>
      </c>
      <c r="F88" s="40">
        <f t="shared" ca="1" si="30"/>
        <v>0.46319444444444413</v>
      </c>
      <c r="G88" s="40">
        <f t="shared" ca="1" si="31"/>
        <v>6.9444444444444198E-4</v>
      </c>
      <c r="H88" t="str">
        <f t="shared" ca="1" si="32"/>
        <v/>
      </c>
      <c r="I88" s="40" t="str">
        <f t="shared" ca="1" si="33"/>
        <v/>
      </c>
      <c r="J88" s="40">
        <f ca="1">IF(ISTEXT($F88),"",MAX($P$19:P87,$F88))</f>
        <v>0.46736111111111078</v>
      </c>
      <c r="K88" s="40">
        <f ca="1">IF(ISTEXT($F88),"",MAX($R$19:R87,$F88))</f>
        <v>0.47083333333333299</v>
      </c>
      <c r="L88" s="40">
        <f t="shared" ca="1" si="34"/>
        <v>0.46388888888888857</v>
      </c>
      <c r="M88" s="40">
        <f t="shared" ca="1" si="35"/>
        <v>0.46388888888888857</v>
      </c>
      <c r="N88">
        <f t="shared" ca="1" si="36"/>
        <v>3</v>
      </c>
      <c r="O88" s="40" t="str">
        <f t="shared" ca="1" si="37"/>
        <v/>
      </c>
      <c r="P88" s="40">
        <f t="shared" ca="1" si="38"/>
        <v>0.46736111111111078</v>
      </c>
      <c r="Q88" s="40" t="str">
        <f t="shared" ca="1" si="39"/>
        <v/>
      </c>
      <c r="R88" s="40">
        <f t="shared" ca="1" si="40"/>
        <v>0.47083333333333299</v>
      </c>
      <c r="S88" s="40">
        <f t="shared" ca="1" si="41"/>
        <v>0.46388888888888857</v>
      </c>
      <c r="T88" s="40">
        <f t="shared" ca="1" si="42"/>
        <v>0.47083333333333299</v>
      </c>
      <c r="U88" s="40" t="str">
        <f t="shared" ca="1" si="43"/>
        <v/>
      </c>
      <c r="V88" s="40">
        <f t="shared" ca="1" si="44"/>
        <v>0.46388888888888857</v>
      </c>
      <c r="W88" s="40">
        <f t="shared" ca="1" si="45"/>
        <v>7.6388888888888618E-3</v>
      </c>
      <c r="X88" s="40">
        <f t="shared" ca="1" si="46"/>
        <v>7.638888888888886E-3</v>
      </c>
      <c r="Y88" s="40">
        <f t="shared" ca="1" si="47"/>
        <v>0.47083333333333299</v>
      </c>
      <c r="Z88">
        <f ca="1">COUNTIF($M$19:$M87,"&gt;"&amp;$F88)</f>
        <v>1</v>
      </c>
    </row>
    <row r="89" spans="1:26" x14ac:dyDescent="0.3">
      <c r="A89">
        <f t="shared" ca="1" si="27"/>
        <v>70</v>
      </c>
      <c r="B89">
        <f t="shared" ca="1" si="48"/>
        <v>2</v>
      </c>
      <c r="C89" s="40">
        <f t="shared" ca="1" si="28"/>
        <v>1.3888888888888889E-3</v>
      </c>
      <c r="D89">
        <f t="shared" ca="1" si="23"/>
        <v>5</v>
      </c>
      <c r="E89" s="40">
        <f t="shared" ca="1" si="29"/>
        <v>3.472222222222222E-3</v>
      </c>
      <c r="F89" s="40">
        <f t="shared" ca="1" si="30"/>
        <v>0.46458333333333302</v>
      </c>
      <c r="G89" s="40">
        <f t="shared" ca="1" si="31"/>
        <v>2.7777777777777679E-3</v>
      </c>
      <c r="H89" t="str">
        <f t="shared" ca="1" si="32"/>
        <v/>
      </c>
      <c r="I89" s="40" t="str">
        <f t="shared" ca="1" si="33"/>
        <v/>
      </c>
      <c r="J89" s="40">
        <f ca="1">IF(ISTEXT($F89),"",MAX($P$19:P88,$F89))</f>
        <v>0.46736111111111078</v>
      </c>
      <c r="K89" s="40">
        <f ca="1">IF(ISTEXT($F89),"",MAX($R$19:R88,$F89))</f>
        <v>0.47083333333333299</v>
      </c>
      <c r="L89" s="40">
        <f t="shared" ca="1" si="34"/>
        <v>0.47083333333333299</v>
      </c>
      <c r="M89" s="40">
        <f t="shared" ca="1" si="35"/>
        <v>0.46736111111111078</v>
      </c>
      <c r="N89">
        <f t="shared" ca="1" si="36"/>
        <v>1</v>
      </c>
      <c r="O89" s="40">
        <f t="shared" ca="1" si="37"/>
        <v>0.46736111111111078</v>
      </c>
      <c r="P89" s="40">
        <f t="shared" ca="1" si="38"/>
        <v>0.47083333333333299</v>
      </c>
      <c r="Q89" s="40" t="str">
        <f t="shared" ca="1" si="39"/>
        <v/>
      </c>
      <c r="R89" s="40">
        <f t="shared" ca="1" si="40"/>
        <v>0.47083333333333299</v>
      </c>
      <c r="S89" s="40" t="str">
        <f t="shared" ca="1" si="41"/>
        <v/>
      </c>
      <c r="T89" s="40">
        <f t="shared" ca="1" si="42"/>
        <v>0.47083333333333299</v>
      </c>
      <c r="U89" s="40" t="str">
        <f t="shared" ca="1" si="43"/>
        <v/>
      </c>
      <c r="V89" s="40">
        <f t="shared" ca="1" si="44"/>
        <v>0.46736111111111078</v>
      </c>
      <c r="W89" s="40">
        <f t="shared" ca="1" si="45"/>
        <v>6.2499999999999778E-3</v>
      </c>
      <c r="X89" s="40">
        <f t="shared" ca="1" si="46"/>
        <v>6.2499999999999899E-3</v>
      </c>
      <c r="Y89" s="40">
        <f t="shared" ca="1" si="47"/>
        <v>0.47083333333333299</v>
      </c>
      <c r="Z89">
        <f ca="1">COUNTIF($M$19:$M88,"&gt;"&amp;$F89)</f>
        <v>0</v>
      </c>
    </row>
    <row r="90" spans="1:26" x14ac:dyDescent="0.3">
      <c r="A90">
        <f t="shared" ca="1" si="27"/>
        <v>71</v>
      </c>
      <c r="B90">
        <f t="shared" ca="1" si="48"/>
        <v>1</v>
      </c>
      <c r="C90" s="40">
        <f t="shared" ca="1" si="28"/>
        <v>6.9444444444444447E-4</v>
      </c>
      <c r="D90">
        <f t="shared" ca="1" si="23"/>
        <v>3</v>
      </c>
      <c r="E90" s="40">
        <f t="shared" ca="1" si="29"/>
        <v>2.0833333333333333E-3</v>
      </c>
      <c r="F90" s="40">
        <f t="shared" ca="1" si="30"/>
        <v>0.46527777777777746</v>
      </c>
      <c r="G90" s="40">
        <f t="shared" ca="1" si="31"/>
        <v>5.5555555555555358E-3</v>
      </c>
      <c r="H90" t="str">
        <f t="shared" ca="1" si="32"/>
        <v>ушёл</v>
      </c>
      <c r="I90" s="40">
        <f t="shared" ca="1" si="33"/>
        <v>0.46805555555555522</v>
      </c>
      <c r="J90" s="40">
        <f ca="1">IF(ISTEXT($F90),"",MAX($P$19:P89,$F90))</f>
        <v>0.47083333333333299</v>
      </c>
      <c r="K90" s="40">
        <f ca="1">IF(ISTEXT($F90),"",MAX($R$19:R89,$F90))</f>
        <v>0.47083333333333299</v>
      </c>
      <c r="L90" s="40">
        <f t="shared" ca="1" si="34"/>
        <v>0.47083333333333299</v>
      </c>
      <c r="M90" s="40">
        <f t="shared" ca="1" si="35"/>
        <v>0.47083333333333299</v>
      </c>
      <c r="N90" t="str">
        <f t="shared" ca="1" si="36"/>
        <v/>
      </c>
      <c r="O90" s="40" t="str">
        <f t="shared" ca="1" si="37"/>
        <v/>
      </c>
      <c r="P90" s="40">
        <f t="shared" ca="1" si="38"/>
        <v>0.47083333333333299</v>
      </c>
      <c r="Q90" s="40" t="str">
        <f t="shared" ca="1" si="39"/>
        <v/>
      </c>
      <c r="R90" s="40">
        <f t="shared" ca="1" si="40"/>
        <v>0.47083333333333299</v>
      </c>
      <c r="S90" s="40" t="str">
        <f t="shared" ca="1" si="41"/>
        <v/>
      </c>
      <c r="T90" s="40">
        <f t="shared" ca="1" si="42"/>
        <v>0.47083333333333299</v>
      </c>
      <c r="U90" s="40">
        <f t="shared" ca="1" si="43"/>
        <v>2.7777777777777679E-3</v>
      </c>
      <c r="V90" s="40">
        <f t="shared" ca="1" si="44"/>
        <v>0.47083333333333299</v>
      </c>
      <c r="W90" s="40">
        <f t="shared" ca="1" si="45"/>
        <v>2.7777777777777679E-3</v>
      </c>
      <c r="X90" s="40">
        <f t="shared" ca="1" si="46"/>
        <v>2.7777777777777679E-3</v>
      </c>
      <c r="Y90" s="40">
        <f t="shared" ca="1" si="47"/>
        <v>0.46805555555555522</v>
      </c>
      <c r="Z90">
        <f ca="1">COUNTIF($M$19:$M89,"&gt;"&amp;$F90)</f>
        <v>1</v>
      </c>
    </row>
    <row r="91" spans="1:26" x14ac:dyDescent="0.3">
      <c r="A91">
        <f t="shared" ca="1" si="27"/>
        <v>72</v>
      </c>
      <c r="B91">
        <f t="shared" ca="1" si="48"/>
        <v>3</v>
      </c>
      <c r="C91" s="40">
        <f t="shared" ca="1" si="28"/>
        <v>2.0833333333333333E-3</v>
      </c>
      <c r="D91">
        <f t="shared" ca="1" si="23"/>
        <v>3</v>
      </c>
      <c r="E91" s="40">
        <f t="shared" ca="1" si="29"/>
        <v>2.0833333333333333E-3</v>
      </c>
      <c r="F91" s="40">
        <f t="shared" ca="1" si="30"/>
        <v>0.46736111111111078</v>
      </c>
      <c r="G91" s="40">
        <f t="shared" ca="1" si="31"/>
        <v>3.4722222222222099E-3</v>
      </c>
      <c r="H91" t="str">
        <f t="shared" ca="1" si="32"/>
        <v>ушёл</v>
      </c>
      <c r="I91" s="40">
        <f t="shared" ca="1" si="33"/>
        <v>0.47013888888888855</v>
      </c>
      <c r="J91" s="40">
        <f ca="1">IF(ISTEXT($F91),"",MAX($P$19:P90,$F91))</f>
        <v>0.47083333333333299</v>
      </c>
      <c r="K91" s="40">
        <f ca="1">IF(ISTEXT($F91),"",MAX($R$19:R90,$F91))</f>
        <v>0.47083333333333299</v>
      </c>
      <c r="L91" s="40">
        <f t="shared" ca="1" si="34"/>
        <v>0.47083333333333299</v>
      </c>
      <c r="M91" s="40">
        <f t="shared" ca="1" si="35"/>
        <v>0.47083333333333299</v>
      </c>
      <c r="N91" t="str">
        <f t="shared" ca="1" si="36"/>
        <v/>
      </c>
      <c r="O91" s="40" t="str">
        <f t="shared" ca="1" si="37"/>
        <v/>
      </c>
      <c r="P91" s="40">
        <f t="shared" ca="1" si="38"/>
        <v>0.47083333333333299</v>
      </c>
      <c r="Q91" s="40" t="str">
        <f t="shared" ca="1" si="39"/>
        <v/>
      </c>
      <c r="R91" s="40">
        <f t="shared" ca="1" si="40"/>
        <v>0.47083333333333299</v>
      </c>
      <c r="S91" s="40" t="str">
        <f t="shared" ca="1" si="41"/>
        <v/>
      </c>
      <c r="T91" s="40">
        <f t="shared" ca="1" si="42"/>
        <v>0.47083333333333299</v>
      </c>
      <c r="U91" s="40">
        <f t="shared" ca="1" si="43"/>
        <v>2.7777777777777679E-3</v>
      </c>
      <c r="V91" s="40">
        <f t="shared" ca="1" si="44"/>
        <v>0.47083333333333299</v>
      </c>
      <c r="W91" s="40">
        <f t="shared" ca="1" si="45"/>
        <v>2.7777777777777679E-3</v>
      </c>
      <c r="X91" s="40">
        <f t="shared" ca="1" si="46"/>
        <v>2.7777777777777679E-3</v>
      </c>
      <c r="Y91" s="40">
        <f t="shared" ca="1" si="47"/>
        <v>0.47013888888888855</v>
      </c>
      <c r="Z91">
        <f ca="1">COUNTIF($M$19:$M90,"&gt;"&amp;$F91)</f>
        <v>1</v>
      </c>
    </row>
    <row r="92" spans="1:26" x14ac:dyDescent="0.3">
      <c r="A92">
        <f t="shared" ca="1" si="27"/>
        <v>73</v>
      </c>
      <c r="B92">
        <f t="shared" ca="1" si="48"/>
        <v>2</v>
      </c>
      <c r="C92" s="40">
        <f t="shared" ca="1" si="28"/>
        <v>1.3888888888888889E-3</v>
      </c>
      <c r="D92">
        <f t="shared" ca="1" si="23"/>
        <v>5</v>
      </c>
      <c r="E92" s="40">
        <f t="shared" ca="1" si="29"/>
        <v>3.472222222222222E-3</v>
      </c>
      <c r="F92" s="40">
        <f t="shared" ca="1" si="30"/>
        <v>0.46874999999999967</v>
      </c>
      <c r="G92" s="40">
        <f t="shared" ca="1" si="31"/>
        <v>2.0833333333333259E-3</v>
      </c>
      <c r="H92" t="str">
        <f t="shared" ca="1" si="32"/>
        <v/>
      </c>
      <c r="I92" s="40" t="str">
        <f t="shared" ca="1" si="33"/>
        <v/>
      </c>
      <c r="J92" s="40">
        <f ca="1">IF(ISTEXT($F92),"",MAX($P$19:P91,$F92))</f>
        <v>0.47083333333333299</v>
      </c>
      <c r="K92" s="40">
        <f ca="1">IF(ISTEXT($F92),"",MAX($R$19:R91,$F92))</f>
        <v>0.47083333333333299</v>
      </c>
      <c r="L92" s="40">
        <f t="shared" ca="1" si="34"/>
        <v>0.47083333333333299</v>
      </c>
      <c r="M92" s="40">
        <f t="shared" ca="1" si="35"/>
        <v>0.47083333333333299</v>
      </c>
      <c r="N92">
        <f t="shared" ca="1" si="36"/>
        <v>1</v>
      </c>
      <c r="O92" s="40">
        <f t="shared" ca="1" si="37"/>
        <v>0.47083333333333299</v>
      </c>
      <c r="P92" s="40">
        <f t="shared" ca="1" si="38"/>
        <v>0.4743055555555552</v>
      </c>
      <c r="Q92" s="40" t="str">
        <f t="shared" ca="1" si="39"/>
        <v/>
      </c>
      <c r="R92" s="40">
        <f t="shared" ca="1" si="40"/>
        <v>0.47083333333333299</v>
      </c>
      <c r="S92" s="40" t="str">
        <f t="shared" ca="1" si="41"/>
        <v/>
      </c>
      <c r="T92" s="40">
        <f t="shared" ca="1" si="42"/>
        <v>0.47083333333333299</v>
      </c>
      <c r="U92" s="40" t="str">
        <f t="shared" ca="1" si="43"/>
        <v/>
      </c>
      <c r="V92" s="40">
        <f t="shared" ca="1" si="44"/>
        <v>0.47083333333333299</v>
      </c>
      <c r="W92" s="40">
        <f t="shared" ca="1" si="45"/>
        <v>5.5555555555555358E-3</v>
      </c>
      <c r="X92" s="40">
        <f t="shared" ca="1" si="46"/>
        <v>5.555555555555548E-3</v>
      </c>
      <c r="Y92" s="40">
        <f t="shared" ca="1" si="47"/>
        <v>0.4743055555555552</v>
      </c>
      <c r="Z92">
        <f ca="1">COUNTIF($M$19:$M91,"&gt;"&amp;$F92)</f>
        <v>2</v>
      </c>
    </row>
    <row r="93" spans="1:26" x14ac:dyDescent="0.3">
      <c r="A93">
        <f t="shared" ca="1" si="27"/>
        <v>74</v>
      </c>
      <c r="B93">
        <f t="shared" ca="1" si="48"/>
        <v>2</v>
      </c>
      <c r="C93" s="40">
        <f t="shared" ca="1" si="28"/>
        <v>1.3888888888888889E-3</v>
      </c>
      <c r="D93">
        <f t="shared" ca="1" si="23"/>
        <v>3</v>
      </c>
      <c r="E93" s="40">
        <f t="shared" ca="1" si="29"/>
        <v>2.0833333333333333E-3</v>
      </c>
      <c r="F93" s="40">
        <f t="shared" ca="1" si="30"/>
        <v>0.47013888888888855</v>
      </c>
      <c r="G93" s="40">
        <f t="shared" ca="1" si="31"/>
        <v>6.9444444444444198E-4</v>
      </c>
      <c r="H93" t="str">
        <f t="shared" ca="1" si="32"/>
        <v/>
      </c>
      <c r="I93" s="40" t="str">
        <f t="shared" ca="1" si="33"/>
        <v/>
      </c>
      <c r="J93" s="40">
        <f ca="1">IF(ISTEXT($F93),"",MAX($P$19:P92,$F93))</f>
        <v>0.4743055555555552</v>
      </c>
      <c r="K93" s="40">
        <f ca="1">IF(ISTEXT($F93),"",MAX($R$19:R92,$F93))</f>
        <v>0.47083333333333299</v>
      </c>
      <c r="L93" s="40">
        <f t="shared" ca="1" si="34"/>
        <v>0.47083333333333299</v>
      </c>
      <c r="M93" s="40">
        <f t="shared" ca="1" si="35"/>
        <v>0.47083333333333299</v>
      </c>
      <c r="N93">
        <f t="shared" ca="1" si="36"/>
        <v>2</v>
      </c>
      <c r="O93" s="40" t="str">
        <f t="shared" ca="1" si="37"/>
        <v/>
      </c>
      <c r="P93" s="40">
        <f t="shared" ca="1" si="38"/>
        <v>0.4743055555555552</v>
      </c>
      <c r="Q93" s="40">
        <f t="shared" ca="1" si="39"/>
        <v>0.47083333333333299</v>
      </c>
      <c r="R93" s="40">
        <f t="shared" ca="1" si="40"/>
        <v>0.47291666666666632</v>
      </c>
      <c r="S93" s="40" t="str">
        <f t="shared" ca="1" si="41"/>
        <v/>
      </c>
      <c r="T93" s="40">
        <f t="shared" ca="1" si="42"/>
        <v>0.47083333333333299</v>
      </c>
      <c r="U93" s="40" t="str">
        <f t="shared" ca="1" si="43"/>
        <v/>
      </c>
      <c r="V93" s="40">
        <f t="shared" ca="1" si="44"/>
        <v>0.47083333333333299</v>
      </c>
      <c r="W93" s="40">
        <f t="shared" ca="1" si="45"/>
        <v>2.7777777777777679E-3</v>
      </c>
      <c r="X93" s="40">
        <f t="shared" ca="1" si="46"/>
        <v>2.7777777777777753E-3</v>
      </c>
      <c r="Y93" s="40">
        <f t="shared" ca="1" si="47"/>
        <v>0.47291666666666632</v>
      </c>
      <c r="Z93">
        <f ca="1">COUNTIF($M$19:$M92,"&gt;"&amp;$F93)</f>
        <v>3</v>
      </c>
    </row>
    <row r="94" spans="1:26" x14ac:dyDescent="0.3">
      <c r="A94">
        <f t="shared" ca="1" si="27"/>
        <v>75</v>
      </c>
      <c r="B94">
        <f t="shared" ca="1" si="48"/>
        <v>3</v>
      </c>
      <c r="C94" s="40">
        <f t="shared" ca="1" si="28"/>
        <v>2.0833333333333333E-3</v>
      </c>
      <c r="D94">
        <f t="shared" ca="1" si="23"/>
        <v>1</v>
      </c>
      <c r="E94" s="40">
        <f t="shared" ca="1" si="29"/>
        <v>6.9444444444444447E-4</v>
      </c>
      <c r="F94" s="40">
        <f t="shared" ca="1" si="30"/>
        <v>0.47222222222222188</v>
      </c>
      <c r="G94" s="40">
        <f t="shared" ca="1" si="31"/>
        <v>0</v>
      </c>
      <c r="H94" t="str">
        <f t="shared" ca="1" si="32"/>
        <v/>
      </c>
      <c r="I94" s="40" t="str">
        <f t="shared" ca="1" si="33"/>
        <v/>
      </c>
      <c r="J94" s="40">
        <f ca="1">IF(ISTEXT($F94),"",MAX($P$19:P93,$F94))</f>
        <v>0.4743055555555552</v>
      </c>
      <c r="K94" s="40">
        <f ca="1">IF(ISTEXT($F94),"",MAX($R$19:R93,$F94))</f>
        <v>0.47291666666666632</v>
      </c>
      <c r="L94" s="40">
        <f t="shared" ca="1" si="34"/>
        <v>0.47222222222222188</v>
      </c>
      <c r="M94" s="40">
        <f t="shared" ca="1" si="35"/>
        <v>0.47222222222222188</v>
      </c>
      <c r="N94">
        <f t="shared" ca="1" si="36"/>
        <v>3</v>
      </c>
      <c r="O94" s="40" t="str">
        <f t="shared" ca="1" si="37"/>
        <v/>
      </c>
      <c r="P94" s="40">
        <f t="shared" ca="1" si="38"/>
        <v>0.4743055555555552</v>
      </c>
      <c r="Q94" s="40" t="str">
        <f t="shared" ca="1" si="39"/>
        <v/>
      </c>
      <c r="R94" s="40">
        <f t="shared" ca="1" si="40"/>
        <v>0.47291666666666632</v>
      </c>
      <c r="S94" s="40">
        <f t="shared" ca="1" si="41"/>
        <v>0.47222222222222188</v>
      </c>
      <c r="T94" s="40">
        <f t="shared" ca="1" si="42"/>
        <v>0.47291666666666632</v>
      </c>
      <c r="U94" s="40" t="str">
        <f t="shared" ca="1" si="43"/>
        <v/>
      </c>
      <c r="V94" s="40">
        <f t="shared" ca="1" si="44"/>
        <v>0.47222222222222188</v>
      </c>
      <c r="W94" s="40">
        <f t="shared" ca="1" si="45"/>
        <v>6.9444444444444198E-4</v>
      </c>
      <c r="X94" s="40">
        <f t="shared" ca="1" si="46"/>
        <v>6.9444444444444447E-4</v>
      </c>
      <c r="Y94" s="40">
        <f t="shared" ca="1" si="47"/>
        <v>0.47291666666666632</v>
      </c>
      <c r="Z94">
        <f ca="1">COUNTIF($M$19:$M93,"&gt;"&amp;$F94)</f>
        <v>0</v>
      </c>
    </row>
    <row r="95" spans="1:26" x14ac:dyDescent="0.3">
      <c r="A95">
        <f t="shared" ca="1" si="27"/>
        <v>76</v>
      </c>
      <c r="B95">
        <f t="shared" ca="1" si="48"/>
        <v>3</v>
      </c>
      <c r="C95" s="40">
        <f t="shared" ca="1" si="28"/>
        <v>2.0833333333333333E-3</v>
      </c>
      <c r="D95">
        <f t="shared" ca="1" si="23"/>
        <v>10</v>
      </c>
      <c r="E95" s="40">
        <f t="shared" ca="1" si="29"/>
        <v>6.9444444444444441E-3</v>
      </c>
      <c r="F95" s="40">
        <f t="shared" ca="1" si="30"/>
        <v>0.4743055555555552</v>
      </c>
      <c r="G95" s="40">
        <f t="shared" ca="1" si="31"/>
        <v>0</v>
      </c>
      <c r="H95" t="str">
        <f t="shared" ca="1" si="32"/>
        <v/>
      </c>
      <c r="I95" s="40" t="str">
        <f t="shared" ca="1" si="33"/>
        <v/>
      </c>
      <c r="J95" s="40">
        <f ca="1">IF(ISTEXT($F95),"",MAX($P$19:P94,$F95))</f>
        <v>0.4743055555555552</v>
      </c>
      <c r="K95" s="40">
        <f ca="1">IF(ISTEXT($F95),"",MAX($R$19:R94,$F95))</f>
        <v>0.4743055555555552</v>
      </c>
      <c r="L95" s="40">
        <f t="shared" ca="1" si="34"/>
        <v>0.4743055555555552</v>
      </c>
      <c r="M95" s="40">
        <f t="shared" ca="1" si="35"/>
        <v>0.4743055555555552</v>
      </c>
      <c r="N95">
        <f t="shared" ca="1" si="36"/>
        <v>1</v>
      </c>
      <c r="O95" s="40">
        <f t="shared" ca="1" si="37"/>
        <v>0.4743055555555552</v>
      </c>
      <c r="P95" s="40">
        <f t="shared" ca="1" si="38"/>
        <v>0.48124999999999962</v>
      </c>
      <c r="Q95" s="40" t="str">
        <f t="shared" ca="1" si="39"/>
        <v/>
      </c>
      <c r="R95" s="40">
        <f t="shared" ca="1" si="40"/>
        <v>0.47291666666666632</v>
      </c>
      <c r="S95" s="40" t="str">
        <f t="shared" ca="1" si="41"/>
        <v/>
      </c>
      <c r="T95" s="40">
        <f t="shared" ca="1" si="42"/>
        <v>0.47291666666666632</v>
      </c>
      <c r="U95" s="40" t="str">
        <f t="shared" ca="1" si="43"/>
        <v/>
      </c>
      <c r="V95" s="40">
        <f t="shared" ca="1" si="44"/>
        <v>0.4743055555555552</v>
      </c>
      <c r="W95" s="40">
        <f t="shared" ca="1" si="45"/>
        <v>6.9444444444444198E-3</v>
      </c>
      <c r="X95" s="40">
        <f t="shared" ca="1" si="46"/>
        <v>6.9444444444444441E-3</v>
      </c>
      <c r="Y95" s="40">
        <f t="shared" ca="1" si="47"/>
        <v>0.48124999999999962</v>
      </c>
      <c r="Z95">
        <f ca="1">COUNTIF($M$19:$M94,"&gt;"&amp;$F95)</f>
        <v>0</v>
      </c>
    </row>
    <row r="96" spans="1:26" x14ac:dyDescent="0.3">
      <c r="A96">
        <f t="shared" ca="1" si="27"/>
        <v>77</v>
      </c>
      <c r="B96">
        <f t="shared" ca="1" si="48"/>
        <v>3</v>
      </c>
      <c r="C96" s="40">
        <f t="shared" ca="1" si="28"/>
        <v>2.0833333333333333E-3</v>
      </c>
      <c r="D96">
        <f t="shared" ca="1" si="23"/>
        <v>3</v>
      </c>
      <c r="E96" s="40">
        <f t="shared" ca="1" si="29"/>
        <v>2.0833333333333333E-3</v>
      </c>
      <c r="F96" s="40">
        <f t="shared" ca="1" si="30"/>
        <v>0.47638888888888853</v>
      </c>
      <c r="G96" s="40">
        <f t="shared" ca="1" si="31"/>
        <v>0</v>
      </c>
      <c r="H96" t="str">
        <f t="shared" ca="1" si="32"/>
        <v/>
      </c>
      <c r="I96" s="40" t="str">
        <f t="shared" ca="1" si="33"/>
        <v/>
      </c>
      <c r="J96" s="40">
        <f ca="1">IF(ISTEXT($F96),"",MAX($P$19:P95,$F96))</f>
        <v>0.48124999999999962</v>
      </c>
      <c r="K96" s="40">
        <f ca="1">IF(ISTEXT($F96),"",MAX($R$19:R95,$F96))</f>
        <v>0.47638888888888853</v>
      </c>
      <c r="L96" s="40">
        <f t="shared" ca="1" si="34"/>
        <v>0.47638888888888853</v>
      </c>
      <c r="M96" s="40">
        <f t="shared" ca="1" si="35"/>
        <v>0.47638888888888853</v>
      </c>
      <c r="N96">
        <f t="shared" ca="1" si="36"/>
        <v>2</v>
      </c>
      <c r="O96" s="40" t="str">
        <f t="shared" ca="1" si="37"/>
        <v/>
      </c>
      <c r="P96" s="40">
        <f t="shared" ca="1" si="38"/>
        <v>0.48124999999999962</v>
      </c>
      <c r="Q96" s="40">
        <f t="shared" ca="1" si="39"/>
        <v>0.47638888888888853</v>
      </c>
      <c r="R96" s="40">
        <f t="shared" ca="1" si="40"/>
        <v>0.47847222222222185</v>
      </c>
      <c r="S96" s="40" t="str">
        <f t="shared" ca="1" si="41"/>
        <v/>
      </c>
      <c r="T96" s="40">
        <f t="shared" ca="1" si="42"/>
        <v>0.47291666666666632</v>
      </c>
      <c r="U96" s="40" t="str">
        <f t="shared" ca="1" si="43"/>
        <v/>
      </c>
      <c r="V96" s="40">
        <f t="shared" ca="1" si="44"/>
        <v>0.47638888888888853</v>
      </c>
      <c r="W96" s="40">
        <f t="shared" ca="1" si="45"/>
        <v>2.0833333333333259E-3</v>
      </c>
      <c r="X96" s="40">
        <f t="shared" ca="1" si="46"/>
        <v>2.0833333333333333E-3</v>
      </c>
      <c r="Y96" s="40">
        <f t="shared" ca="1" si="47"/>
        <v>0.47847222222222185</v>
      </c>
      <c r="Z96">
        <f ca="1">COUNTIF($M$19:$M95,"&gt;"&amp;$F96)</f>
        <v>0</v>
      </c>
    </row>
    <row r="97" spans="1:26" x14ac:dyDescent="0.3">
      <c r="A97">
        <f t="shared" ca="1" si="27"/>
        <v>78</v>
      </c>
      <c r="B97">
        <f t="shared" ca="1" si="48"/>
        <v>3</v>
      </c>
      <c r="C97" s="40">
        <f t="shared" ca="1" si="28"/>
        <v>2.0833333333333333E-3</v>
      </c>
      <c r="D97">
        <f t="shared" ca="1" si="23"/>
        <v>1</v>
      </c>
      <c r="E97" s="40">
        <f t="shared" ca="1" si="29"/>
        <v>6.9444444444444447E-4</v>
      </c>
      <c r="F97" s="40">
        <f t="shared" ca="1" si="30"/>
        <v>0.47847222222222185</v>
      </c>
      <c r="G97" s="40">
        <f t="shared" ca="1" si="31"/>
        <v>0</v>
      </c>
      <c r="H97" t="str">
        <f t="shared" ca="1" si="32"/>
        <v/>
      </c>
      <c r="I97" s="40" t="str">
        <f t="shared" ca="1" si="33"/>
        <v/>
      </c>
      <c r="J97" s="40">
        <f ca="1">IF(ISTEXT($F97),"",MAX($P$19:P96,$F97))</f>
        <v>0.48124999999999962</v>
      </c>
      <c r="K97" s="40">
        <f ca="1">IF(ISTEXT($F97),"",MAX($R$19:R96,$F97))</f>
        <v>0.47847222222222185</v>
      </c>
      <c r="L97" s="40">
        <f t="shared" ca="1" si="34"/>
        <v>0.47847222222222185</v>
      </c>
      <c r="M97" s="40">
        <f t="shared" ca="1" si="35"/>
        <v>0.47847222222222185</v>
      </c>
      <c r="N97">
        <f t="shared" ca="1" si="36"/>
        <v>2</v>
      </c>
      <c r="O97" s="40" t="str">
        <f t="shared" ca="1" si="37"/>
        <v/>
      </c>
      <c r="P97" s="40">
        <f t="shared" ca="1" si="38"/>
        <v>0.48124999999999962</v>
      </c>
      <c r="Q97" s="40">
        <f t="shared" ca="1" si="39"/>
        <v>0.47847222222222185</v>
      </c>
      <c r="R97" s="40">
        <f t="shared" ca="1" si="40"/>
        <v>0.4791666666666663</v>
      </c>
      <c r="S97" s="40" t="str">
        <f t="shared" ca="1" si="41"/>
        <v/>
      </c>
      <c r="T97" s="40">
        <f t="shared" ca="1" si="42"/>
        <v>0.47291666666666632</v>
      </c>
      <c r="U97" s="40" t="str">
        <f t="shared" ca="1" si="43"/>
        <v/>
      </c>
      <c r="V97" s="40">
        <f t="shared" ca="1" si="44"/>
        <v>0.47847222222222185</v>
      </c>
      <c r="W97" s="40">
        <f t="shared" ca="1" si="45"/>
        <v>6.9444444444444198E-4</v>
      </c>
      <c r="X97" s="40">
        <f t="shared" ca="1" si="46"/>
        <v>6.9444444444444447E-4</v>
      </c>
      <c r="Y97" s="40">
        <f t="shared" ca="1" si="47"/>
        <v>0.4791666666666663</v>
      </c>
      <c r="Z97">
        <f ca="1">COUNTIF($M$19:$M96,"&gt;"&amp;$F97)</f>
        <v>0</v>
      </c>
    </row>
    <row r="98" spans="1:26" x14ac:dyDescent="0.3">
      <c r="A98">
        <f t="shared" ca="1" si="27"/>
        <v>79</v>
      </c>
      <c r="B98">
        <f t="shared" ca="1" si="48"/>
        <v>1</v>
      </c>
      <c r="C98" s="40">
        <f t="shared" ca="1" si="28"/>
        <v>6.9444444444444447E-4</v>
      </c>
      <c r="D98">
        <f t="shared" ca="1" si="23"/>
        <v>5</v>
      </c>
      <c r="E98" s="40">
        <f t="shared" ca="1" si="29"/>
        <v>3.472222222222222E-3</v>
      </c>
      <c r="F98" s="40">
        <f t="shared" ca="1" si="30"/>
        <v>0.4791666666666663</v>
      </c>
      <c r="G98" s="40">
        <f t="shared" ca="1" si="31"/>
        <v>0</v>
      </c>
      <c r="H98" t="str">
        <f t="shared" ca="1" si="32"/>
        <v/>
      </c>
      <c r="I98" s="40" t="str">
        <f t="shared" ca="1" si="33"/>
        <v/>
      </c>
      <c r="J98" s="40">
        <f ca="1">IF(ISTEXT($F98),"",MAX($P$19:P97,$F98))</f>
        <v>0.48124999999999962</v>
      </c>
      <c r="K98" s="40">
        <f ca="1">IF(ISTEXT($F98),"",MAX($R$19:R97,$F98))</f>
        <v>0.4791666666666663</v>
      </c>
      <c r="L98" s="40">
        <f t="shared" ca="1" si="34"/>
        <v>0.4791666666666663</v>
      </c>
      <c r="M98" s="40">
        <f t="shared" ca="1" si="35"/>
        <v>0.4791666666666663</v>
      </c>
      <c r="N98">
        <f t="shared" ca="1" si="36"/>
        <v>2</v>
      </c>
      <c r="O98" s="40" t="str">
        <f t="shared" ca="1" si="37"/>
        <v/>
      </c>
      <c r="P98" s="40">
        <f t="shared" ca="1" si="38"/>
        <v>0.48124999999999962</v>
      </c>
      <c r="Q98" s="40">
        <f t="shared" ca="1" si="39"/>
        <v>0.4791666666666663</v>
      </c>
      <c r="R98" s="40">
        <f t="shared" ca="1" si="40"/>
        <v>0.48263888888888851</v>
      </c>
      <c r="S98" s="40" t="str">
        <f t="shared" ca="1" si="41"/>
        <v/>
      </c>
      <c r="T98" s="40">
        <f t="shared" ca="1" si="42"/>
        <v>0.47291666666666632</v>
      </c>
      <c r="U98" s="40" t="str">
        <f t="shared" ca="1" si="43"/>
        <v/>
      </c>
      <c r="V98" s="40">
        <f t="shared" ca="1" si="44"/>
        <v>0.4791666666666663</v>
      </c>
      <c r="W98" s="40">
        <f t="shared" ca="1" si="45"/>
        <v>3.4722222222222099E-3</v>
      </c>
      <c r="X98" s="40">
        <f t="shared" ca="1" si="46"/>
        <v>3.472222222222222E-3</v>
      </c>
      <c r="Y98" s="40">
        <f t="shared" ca="1" si="47"/>
        <v>0.48263888888888851</v>
      </c>
      <c r="Z98">
        <f ca="1">COUNTIF($M$19:$M97,"&gt;"&amp;$F98)</f>
        <v>0</v>
      </c>
    </row>
    <row r="99" spans="1:26" x14ac:dyDescent="0.3">
      <c r="A99">
        <f t="shared" ca="1" si="27"/>
        <v>80</v>
      </c>
      <c r="B99">
        <f t="shared" ca="1" si="48"/>
        <v>1</v>
      </c>
      <c r="C99" s="40">
        <f t="shared" ca="1" si="28"/>
        <v>6.9444444444444447E-4</v>
      </c>
      <c r="D99">
        <f t="shared" ca="1" si="23"/>
        <v>10</v>
      </c>
      <c r="E99" s="40">
        <f t="shared" ca="1" si="29"/>
        <v>6.9444444444444441E-3</v>
      </c>
      <c r="F99" s="40">
        <f t="shared" ca="1" si="30"/>
        <v>0.47986111111111074</v>
      </c>
      <c r="G99" s="40">
        <f t="shared" ca="1" si="31"/>
        <v>0</v>
      </c>
      <c r="H99" t="str">
        <f t="shared" ca="1" si="32"/>
        <v/>
      </c>
      <c r="I99" s="40" t="str">
        <f t="shared" ca="1" si="33"/>
        <v/>
      </c>
      <c r="J99" s="40">
        <f ca="1">IF(ISTEXT($F99),"",MAX($P$19:P98,$F99))</f>
        <v>0.48124999999999962</v>
      </c>
      <c r="K99" s="40">
        <f ca="1">IF(ISTEXT($F99),"",MAX($R$19:R98,$F99))</f>
        <v>0.48263888888888851</v>
      </c>
      <c r="L99" s="40">
        <f t="shared" ca="1" si="34"/>
        <v>0.47986111111111074</v>
      </c>
      <c r="M99" s="40">
        <f t="shared" ca="1" si="35"/>
        <v>0.47986111111111074</v>
      </c>
      <c r="N99">
        <f t="shared" ca="1" si="36"/>
        <v>3</v>
      </c>
      <c r="O99" s="40" t="str">
        <f t="shared" ca="1" si="37"/>
        <v/>
      </c>
      <c r="P99" s="40">
        <f t="shared" ca="1" si="38"/>
        <v>0.48124999999999962</v>
      </c>
      <c r="Q99" s="40" t="str">
        <f t="shared" ca="1" si="39"/>
        <v/>
      </c>
      <c r="R99" s="40">
        <f t="shared" ca="1" si="40"/>
        <v>0.48263888888888851</v>
      </c>
      <c r="S99" s="40">
        <f t="shared" ca="1" si="41"/>
        <v>0.47986111111111074</v>
      </c>
      <c r="T99" s="40">
        <f t="shared" ca="1" si="42"/>
        <v>0.48680555555555516</v>
      </c>
      <c r="U99" s="40" t="str">
        <f t="shared" ca="1" si="43"/>
        <v/>
      </c>
      <c r="V99" s="40">
        <f t="shared" ca="1" si="44"/>
        <v>0.47986111111111074</v>
      </c>
      <c r="W99" s="40">
        <f t="shared" ca="1" si="45"/>
        <v>6.9444444444444198E-3</v>
      </c>
      <c r="X99" s="40">
        <f t="shared" ca="1" si="46"/>
        <v>6.9444444444444441E-3</v>
      </c>
      <c r="Y99" s="40">
        <f t="shared" ca="1" si="47"/>
        <v>0.48680555555555516</v>
      </c>
      <c r="Z99">
        <f ca="1">COUNTIF($M$19:$M98,"&gt;"&amp;$F99)</f>
        <v>0</v>
      </c>
    </row>
    <row r="100" spans="1:26" x14ac:dyDescent="0.3">
      <c r="A100">
        <f t="shared" ca="1" si="27"/>
        <v>81</v>
      </c>
      <c r="B100">
        <f t="shared" ca="1" si="48"/>
        <v>3</v>
      </c>
      <c r="C100" s="40">
        <f t="shared" ca="1" si="28"/>
        <v>2.0833333333333333E-3</v>
      </c>
      <c r="D100">
        <f t="shared" ca="1" si="23"/>
        <v>1</v>
      </c>
      <c r="E100" s="40">
        <f t="shared" ca="1" si="29"/>
        <v>6.9444444444444447E-4</v>
      </c>
      <c r="F100" s="40">
        <f t="shared" ca="1" si="30"/>
        <v>0.48194444444444406</v>
      </c>
      <c r="G100" s="40">
        <f t="shared" ca="1" si="31"/>
        <v>0</v>
      </c>
      <c r="H100" t="str">
        <f t="shared" ca="1" si="32"/>
        <v/>
      </c>
      <c r="I100" s="40" t="str">
        <f t="shared" ca="1" si="33"/>
        <v/>
      </c>
      <c r="J100" s="40">
        <f ca="1">IF(ISTEXT($F100),"",MAX($P$19:P99,$F100))</f>
        <v>0.48194444444444406</v>
      </c>
      <c r="K100" s="40">
        <f ca="1">IF(ISTEXT($F100),"",MAX($R$19:R99,$F100))</f>
        <v>0.48263888888888851</v>
      </c>
      <c r="L100" s="40">
        <f t="shared" ca="1" si="34"/>
        <v>0.48680555555555516</v>
      </c>
      <c r="M100" s="40">
        <f t="shared" ca="1" si="35"/>
        <v>0.48194444444444406</v>
      </c>
      <c r="N100">
        <f t="shared" ca="1" si="36"/>
        <v>1</v>
      </c>
      <c r="O100" s="40">
        <f t="shared" ca="1" si="37"/>
        <v>0.48194444444444406</v>
      </c>
      <c r="P100" s="40">
        <f t="shared" ca="1" si="38"/>
        <v>0.48263888888888851</v>
      </c>
      <c r="Q100" s="40" t="str">
        <f t="shared" ca="1" si="39"/>
        <v/>
      </c>
      <c r="R100" s="40">
        <f t="shared" ca="1" si="40"/>
        <v>0.48263888888888851</v>
      </c>
      <c r="S100" s="40" t="str">
        <f t="shared" ca="1" si="41"/>
        <v/>
      </c>
      <c r="T100" s="40">
        <f t="shared" ca="1" si="42"/>
        <v>0.48680555555555516</v>
      </c>
      <c r="U100" s="40" t="str">
        <f t="shared" ca="1" si="43"/>
        <v/>
      </c>
      <c r="V100" s="40">
        <f t="shared" ca="1" si="44"/>
        <v>0.48194444444444406</v>
      </c>
      <c r="W100" s="40">
        <f t="shared" ca="1" si="45"/>
        <v>6.9444444444444198E-4</v>
      </c>
      <c r="X100" s="40">
        <f t="shared" ca="1" si="46"/>
        <v>6.9444444444444447E-4</v>
      </c>
      <c r="Y100" s="40">
        <f t="shared" ca="1" si="47"/>
        <v>0.48263888888888851</v>
      </c>
      <c r="Z100">
        <f ca="1">COUNTIF($M$19:$M99,"&gt;"&amp;$F100)</f>
        <v>0</v>
      </c>
    </row>
    <row r="101" spans="1:26" x14ac:dyDescent="0.3">
      <c r="A101">
        <f t="shared" ca="1" si="27"/>
        <v>82</v>
      </c>
      <c r="B101">
        <f t="shared" ca="1" si="48"/>
        <v>1</v>
      </c>
      <c r="C101" s="40">
        <f t="shared" ca="1" si="28"/>
        <v>6.9444444444444447E-4</v>
      </c>
      <c r="D101">
        <f t="shared" ca="1" si="23"/>
        <v>1</v>
      </c>
      <c r="E101" s="40">
        <f t="shared" ca="1" si="29"/>
        <v>6.9444444444444447E-4</v>
      </c>
      <c r="F101" s="40">
        <f t="shared" ca="1" si="30"/>
        <v>0.48263888888888851</v>
      </c>
      <c r="G101" s="40">
        <f t="shared" ca="1" si="31"/>
        <v>0</v>
      </c>
      <c r="H101" t="str">
        <f t="shared" ca="1" si="32"/>
        <v/>
      </c>
      <c r="I101" s="40" t="str">
        <f t="shared" ca="1" si="33"/>
        <v/>
      </c>
      <c r="J101" s="40">
        <f ca="1">IF(ISTEXT($F101),"",MAX($P$19:P100,$F101))</f>
        <v>0.48263888888888851</v>
      </c>
      <c r="K101" s="40">
        <f ca="1">IF(ISTEXT($F101),"",MAX($R$19:R100,$F101))</f>
        <v>0.48263888888888851</v>
      </c>
      <c r="L101" s="40">
        <f t="shared" ca="1" si="34"/>
        <v>0.48680555555555516</v>
      </c>
      <c r="M101" s="40">
        <f t="shared" ca="1" si="35"/>
        <v>0.48263888888888851</v>
      </c>
      <c r="N101">
        <f t="shared" ca="1" si="36"/>
        <v>1</v>
      </c>
      <c r="O101" s="40">
        <f t="shared" ca="1" si="37"/>
        <v>0.48263888888888851</v>
      </c>
      <c r="P101" s="40">
        <f t="shared" ca="1" si="38"/>
        <v>0.48333333333333295</v>
      </c>
      <c r="Q101" s="40" t="str">
        <f t="shared" ca="1" si="39"/>
        <v/>
      </c>
      <c r="R101" s="40">
        <f t="shared" ca="1" si="40"/>
        <v>0.48263888888888851</v>
      </c>
      <c r="S101" s="40" t="str">
        <f t="shared" ca="1" si="41"/>
        <v/>
      </c>
      <c r="T101" s="40">
        <f t="shared" ca="1" si="42"/>
        <v>0.48680555555555516</v>
      </c>
      <c r="U101" s="40" t="str">
        <f t="shared" ca="1" si="43"/>
        <v/>
      </c>
      <c r="V101" s="40">
        <f t="shared" ca="1" si="44"/>
        <v>0.48263888888888851</v>
      </c>
      <c r="W101" s="40">
        <f t="shared" ca="1" si="45"/>
        <v>6.9444444444444198E-4</v>
      </c>
      <c r="X101" s="40">
        <f t="shared" ca="1" si="46"/>
        <v>6.9444444444444447E-4</v>
      </c>
      <c r="Y101" s="40">
        <f t="shared" ca="1" si="47"/>
        <v>0.48333333333333295</v>
      </c>
      <c r="Z101">
        <f ca="1">COUNTIF($M$19:$M100,"&gt;"&amp;$F101)</f>
        <v>0</v>
      </c>
    </row>
    <row r="102" spans="1:26" x14ac:dyDescent="0.3">
      <c r="A102">
        <f t="shared" ca="1" si="27"/>
        <v>83</v>
      </c>
      <c r="B102">
        <f t="shared" ca="1" si="48"/>
        <v>2</v>
      </c>
      <c r="C102" s="40">
        <f t="shared" ca="1" si="28"/>
        <v>1.3888888888888889E-3</v>
      </c>
      <c r="D102">
        <f t="shared" ca="1" si="23"/>
        <v>10</v>
      </c>
      <c r="E102" s="40">
        <f t="shared" ca="1" si="29"/>
        <v>6.9444444444444441E-3</v>
      </c>
      <c r="F102" s="40">
        <f t="shared" ca="1" si="30"/>
        <v>0.48402777777777739</v>
      </c>
      <c r="G102" s="40">
        <f t="shared" ca="1" si="31"/>
        <v>0</v>
      </c>
      <c r="H102" t="str">
        <f t="shared" ca="1" si="32"/>
        <v/>
      </c>
      <c r="I102" s="40" t="str">
        <f t="shared" ca="1" si="33"/>
        <v/>
      </c>
      <c r="J102" s="40">
        <f ca="1">IF(ISTEXT($F102),"",MAX($P$19:P101,$F102))</f>
        <v>0.48402777777777739</v>
      </c>
      <c r="K102" s="40">
        <f ca="1">IF(ISTEXT($F102),"",MAX($R$19:R101,$F102))</f>
        <v>0.48402777777777739</v>
      </c>
      <c r="L102" s="40">
        <f t="shared" ca="1" si="34"/>
        <v>0.48680555555555516</v>
      </c>
      <c r="M102" s="40">
        <f t="shared" ca="1" si="35"/>
        <v>0.48402777777777739</v>
      </c>
      <c r="N102">
        <f t="shared" ca="1" si="36"/>
        <v>1</v>
      </c>
      <c r="O102" s="40">
        <f t="shared" ca="1" si="37"/>
        <v>0.48402777777777739</v>
      </c>
      <c r="P102" s="40">
        <f t="shared" ca="1" si="38"/>
        <v>0.49097222222222181</v>
      </c>
      <c r="Q102" s="40" t="str">
        <f t="shared" ca="1" si="39"/>
        <v/>
      </c>
      <c r="R102" s="40">
        <f t="shared" ca="1" si="40"/>
        <v>0.48263888888888851</v>
      </c>
      <c r="S102" s="40" t="str">
        <f t="shared" ca="1" si="41"/>
        <v/>
      </c>
      <c r="T102" s="40">
        <f t="shared" ca="1" si="42"/>
        <v>0.48680555555555516</v>
      </c>
      <c r="U102" s="40" t="str">
        <f t="shared" ca="1" si="43"/>
        <v/>
      </c>
      <c r="V102" s="40">
        <f t="shared" ca="1" si="44"/>
        <v>0.48402777777777739</v>
      </c>
      <c r="W102" s="40">
        <f t="shared" ca="1" si="45"/>
        <v>6.9444444444444198E-3</v>
      </c>
      <c r="X102" s="40">
        <f t="shared" ca="1" si="46"/>
        <v>6.9444444444444441E-3</v>
      </c>
      <c r="Y102" s="40">
        <f t="shared" ca="1" si="47"/>
        <v>0.49097222222222181</v>
      </c>
      <c r="Z102">
        <f ca="1">COUNTIF($M$19:$M101,"&gt;"&amp;$F102)</f>
        <v>0</v>
      </c>
    </row>
    <row r="103" spans="1:26" x14ac:dyDescent="0.3">
      <c r="A103">
        <f t="shared" ca="1" si="27"/>
        <v>84</v>
      </c>
      <c r="B103">
        <f t="shared" ca="1" si="48"/>
        <v>2</v>
      </c>
      <c r="C103" s="40">
        <f t="shared" ca="1" si="28"/>
        <v>1.3888888888888889E-3</v>
      </c>
      <c r="D103">
        <f t="shared" ca="1" si="23"/>
        <v>3</v>
      </c>
      <c r="E103" s="40">
        <f t="shared" ca="1" si="29"/>
        <v>2.0833333333333333E-3</v>
      </c>
      <c r="F103" s="40">
        <f t="shared" ca="1" si="30"/>
        <v>0.48541666666666627</v>
      </c>
      <c r="G103" s="40">
        <f t="shared" ca="1" si="31"/>
        <v>0</v>
      </c>
      <c r="H103" t="str">
        <f t="shared" ca="1" si="32"/>
        <v/>
      </c>
      <c r="I103" s="40" t="str">
        <f t="shared" ca="1" si="33"/>
        <v/>
      </c>
      <c r="J103" s="40">
        <f ca="1">IF(ISTEXT($F103),"",MAX($P$19:P102,$F103))</f>
        <v>0.49097222222222181</v>
      </c>
      <c r="K103" s="40">
        <f ca="1">IF(ISTEXT($F103),"",MAX($R$19:R102,$F103))</f>
        <v>0.48541666666666627</v>
      </c>
      <c r="L103" s="40">
        <f t="shared" ca="1" si="34"/>
        <v>0.48680555555555516</v>
      </c>
      <c r="M103" s="40">
        <f t="shared" ca="1" si="35"/>
        <v>0.48541666666666627</v>
      </c>
      <c r="N103">
        <f t="shared" ca="1" si="36"/>
        <v>2</v>
      </c>
      <c r="O103" s="40" t="str">
        <f t="shared" ca="1" si="37"/>
        <v/>
      </c>
      <c r="P103" s="40">
        <f t="shared" ca="1" si="38"/>
        <v>0.49097222222222181</v>
      </c>
      <c r="Q103" s="40">
        <f t="shared" ca="1" si="39"/>
        <v>0.48541666666666627</v>
      </c>
      <c r="R103" s="40">
        <f t="shared" ca="1" si="40"/>
        <v>0.4874999999999996</v>
      </c>
      <c r="S103" s="40" t="str">
        <f t="shared" ca="1" si="41"/>
        <v/>
      </c>
      <c r="T103" s="40">
        <f t="shared" ca="1" si="42"/>
        <v>0.48680555555555516</v>
      </c>
      <c r="U103" s="40" t="str">
        <f t="shared" ca="1" si="43"/>
        <v/>
      </c>
      <c r="V103" s="40">
        <f t="shared" ca="1" si="44"/>
        <v>0.48541666666666627</v>
      </c>
      <c r="W103" s="40">
        <f t="shared" ca="1" si="45"/>
        <v>2.0833333333333259E-3</v>
      </c>
      <c r="X103" s="40">
        <f t="shared" ca="1" si="46"/>
        <v>2.0833333333333333E-3</v>
      </c>
      <c r="Y103" s="40">
        <f t="shared" ca="1" si="47"/>
        <v>0.4874999999999996</v>
      </c>
      <c r="Z103">
        <f ca="1">COUNTIF($M$19:$M102,"&gt;"&amp;$F103)</f>
        <v>0</v>
      </c>
    </row>
    <row r="104" spans="1:26" x14ac:dyDescent="0.3">
      <c r="A104">
        <f t="shared" ca="1" si="27"/>
        <v>85</v>
      </c>
      <c r="B104">
        <f t="shared" ca="1" si="48"/>
        <v>2</v>
      </c>
      <c r="C104" s="40">
        <f t="shared" ca="1" si="28"/>
        <v>1.3888888888888889E-3</v>
      </c>
      <c r="D104">
        <f t="shared" ca="1" si="23"/>
        <v>10</v>
      </c>
      <c r="E104" s="40">
        <f t="shared" ca="1" si="29"/>
        <v>6.9444444444444441E-3</v>
      </c>
      <c r="F104" s="40">
        <f t="shared" ca="1" si="30"/>
        <v>0.48680555555555516</v>
      </c>
      <c r="G104" s="40">
        <f t="shared" ca="1" si="31"/>
        <v>0</v>
      </c>
      <c r="H104" t="str">
        <f t="shared" ca="1" si="32"/>
        <v/>
      </c>
      <c r="I104" s="40" t="str">
        <f t="shared" ca="1" si="33"/>
        <v/>
      </c>
      <c r="J104" s="40">
        <f ca="1">IF(ISTEXT($F104),"",MAX($P$19:P103,$F104))</f>
        <v>0.49097222222222181</v>
      </c>
      <c r="K104" s="40">
        <f ca="1">IF(ISTEXT($F104),"",MAX($R$19:R103,$F104))</f>
        <v>0.4874999999999996</v>
      </c>
      <c r="L104" s="40">
        <f t="shared" ca="1" si="34"/>
        <v>0.48680555555555516</v>
      </c>
      <c r="M104" s="40">
        <f t="shared" ca="1" si="35"/>
        <v>0.48680555555555516</v>
      </c>
      <c r="N104">
        <f t="shared" ca="1" si="36"/>
        <v>3</v>
      </c>
      <c r="O104" s="40" t="str">
        <f t="shared" ca="1" si="37"/>
        <v/>
      </c>
      <c r="P104" s="40">
        <f t="shared" ca="1" si="38"/>
        <v>0.49097222222222181</v>
      </c>
      <c r="Q104" s="40" t="str">
        <f t="shared" ca="1" si="39"/>
        <v/>
      </c>
      <c r="R104" s="40">
        <f t="shared" ca="1" si="40"/>
        <v>0.4874999999999996</v>
      </c>
      <c r="S104" s="40">
        <f t="shared" ca="1" si="41"/>
        <v>0.48680555555555516</v>
      </c>
      <c r="T104" s="40">
        <f t="shared" ca="1" si="42"/>
        <v>0.49374999999999958</v>
      </c>
      <c r="U104" s="40" t="str">
        <f t="shared" ca="1" si="43"/>
        <v/>
      </c>
      <c r="V104" s="40">
        <f t="shared" ca="1" si="44"/>
        <v>0.48680555555555516</v>
      </c>
      <c r="W104" s="40">
        <f t="shared" ca="1" si="45"/>
        <v>6.9444444444444198E-3</v>
      </c>
      <c r="X104" s="40">
        <f t="shared" ca="1" si="46"/>
        <v>6.9444444444444441E-3</v>
      </c>
      <c r="Y104" s="40">
        <f t="shared" ca="1" si="47"/>
        <v>0.49374999999999958</v>
      </c>
      <c r="Z104">
        <f ca="1">COUNTIF($M$19:$M103,"&gt;"&amp;$F104)</f>
        <v>0</v>
      </c>
    </row>
    <row r="105" spans="1:26" x14ac:dyDescent="0.3">
      <c r="A105">
        <f t="shared" ca="1" si="27"/>
        <v>86</v>
      </c>
      <c r="B105">
        <f t="shared" ca="1" si="48"/>
        <v>1</v>
      </c>
      <c r="C105" s="40">
        <f t="shared" ca="1" si="28"/>
        <v>6.9444444444444447E-4</v>
      </c>
      <c r="D105">
        <f t="shared" ca="1" si="23"/>
        <v>3</v>
      </c>
      <c r="E105" s="40">
        <f t="shared" ca="1" si="29"/>
        <v>2.0833333333333333E-3</v>
      </c>
      <c r="F105" s="40">
        <f t="shared" ca="1" si="30"/>
        <v>0.4874999999999996</v>
      </c>
      <c r="G105" s="40">
        <f t="shared" ca="1" si="31"/>
        <v>0</v>
      </c>
      <c r="H105" t="str">
        <f t="shared" ca="1" si="32"/>
        <v/>
      </c>
      <c r="I105" s="40" t="str">
        <f t="shared" ca="1" si="33"/>
        <v/>
      </c>
      <c r="J105" s="40">
        <f ca="1">IF(ISTEXT($F105),"",MAX($P$19:P104,$F105))</f>
        <v>0.49097222222222181</v>
      </c>
      <c r="K105" s="40">
        <f ca="1">IF(ISTEXT($F105),"",MAX($R$19:R104,$F105))</f>
        <v>0.4874999999999996</v>
      </c>
      <c r="L105" s="40">
        <f t="shared" ca="1" si="34"/>
        <v>0.49374999999999958</v>
      </c>
      <c r="M105" s="40">
        <f t="shared" ca="1" si="35"/>
        <v>0.4874999999999996</v>
      </c>
      <c r="N105">
        <f t="shared" ca="1" si="36"/>
        <v>2</v>
      </c>
      <c r="O105" s="40" t="str">
        <f t="shared" ca="1" si="37"/>
        <v/>
      </c>
      <c r="P105" s="40">
        <f t="shared" ca="1" si="38"/>
        <v>0.49097222222222181</v>
      </c>
      <c r="Q105" s="40">
        <f t="shared" ca="1" si="39"/>
        <v>0.4874999999999996</v>
      </c>
      <c r="R105" s="40">
        <f t="shared" ca="1" si="40"/>
        <v>0.48958333333333293</v>
      </c>
      <c r="S105" s="40" t="str">
        <f t="shared" ca="1" si="41"/>
        <v/>
      </c>
      <c r="T105" s="40">
        <f t="shared" ca="1" si="42"/>
        <v>0.49374999999999958</v>
      </c>
      <c r="U105" s="40" t="str">
        <f t="shared" ca="1" si="43"/>
        <v/>
      </c>
      <c r="V105" s="40">
        <f t="shared" ca="1" si="44"/>
        <v>0.4874999999999996</v>
      </c>
      <c r="W105" s="40">
        <f t="shared" ca="1" si="45"/>
        <v>2.0833333333333259E-3</v>
      </c>
      <c r="X105" s="40">
        <f t="shared" ca="1" si="46"/>
        <v>2.0833333333333333E-3</v>
      </c>
      <c r="Y105" s="40">
        <f t="shared" ca="1" si="47"/>
        <v>0.48958333333333293</v>
      </c>
      <c r="Z105">
        <f ca="1">COUNTIF($M$19:$M104,"&gt;"&amp;$F105)</f>
        <v>0</v>
      </c>
    </row>
    <row r="106" spans="1:26" x14ac:dyDescent="0.3">
      <c r="A106">
        <f t="shared" ca="1" si="27"/>
        <v>87</v>
      </c>
      <c r="B106">
        <f t="shared" ca="1" si="48"/>
        <v>2</v>
      </c>
      <c r="C106" s="40">
        <f t="shared" ca="1" si="28"/>
        <v>1.3888888888888889E-3</v>
      </c>
      <c r="D106">
        <f t="shared" ca="1" si="23"/>
        <v>5</v>
      </c>
      <c r="E106" s="40">
        <f t="shared" ca="1" si="29"/>
        <v>3.472222222222222E-3</v>
      </c>
      <c r="F106" s="40">
        <f t="shared" ca="1" si="30"/>
        <v>0.48888888888888848</v>
      </c>
      <c r="G106" s="40">
        <f t="shared" ca="1" si="31"/>
        <v>6.9444444444444198E-4</v>
      </c>
      <c r="H106" t="str">
        <f t="shared" ca="1" si="32"/>
        <v/>
      </c>
      <c r="I106" s="40" t="str">
        <f t="shared" ca="1" si="33"/>
        <v/>
      </c>
      <c r="J106" s="40">
        <f ca="1">IF(ISTEXT($F106),"",MAX($P$19:P105,$F106))</f>
        <v>0.49097222222222181</v>
      </c>
      <c r="K106" s="40">
        <f ca="1">IF(ISTEXT($F106),"",MAX($R$19:R105,$F106))</f>
        <v>0.48958333333333293</v>
      </c>
      <c r="L106" s="40">
        <f t="shared" ca="1" si="34"/>
        <v>0.49374999999999958</v>
      </c>
      <c r="M106" s="40">
        <f t="shared" ca="1" si="35"/>
        <v>0.48958333333333293</v>
      </c>
      <c r="N106">
        <f t="shared" ca="1" si="36"/>
        <v>2</v>
      </c>
      <c r="O106" s="40" t="str">
        <f t="shared" ca="1" si="37"/>
        <v/>
      </c>
      <c r="P106" s="40">
        <f t="shared" ca="1" si="38"/>
        <v>0.49097222222222181</v>
      </c>
      <c r="Q106" s="40">
        <f t="shared" ca="1" si="39"/>
        <v>0.48958333333333293</v>
      </c>
      <c r="R106" s="40">
        <f t="shared" ca="1" si="40"/>
        <v>0.49305555555555514</v>
      </c>
      <c r="S106" s="40" t="str">
        <f t="shared" ca="1" si="41"/>
        <v/>
      </c>
      <c r="T106" s="40">
        <f t="shared" ca="1" si="42"/>
        <v>0.49374999999999958</v>
      </c>
      <c r="U106" s="40" t="str">
        <f t="shared" ca="1" si="43"/>
        <v/>
      </c>
      <c r="V106" s="40">
        <f t="shared" ca="1" si="44"/>
        <v>0.48958333333333293</v>
      </c>
      <c r="W106" s="40">
        <f t="shared" ca="1" si="45"/>
        <v>4.1666666666666519E-3</v>
      </c>
      <c r="X106" s="40">
        <f t="shared" ca="1" si="46"/>
        <v>4.166666666666664E-3</v>
      </c>
      <c r="Y106" s="40">
        <f t="shared" ca="1" si="47"/>
        <v>0.49305555555555514</v>
      </c>
      <c r="Z106">
        <f ca="1">COUNTIF($M$19:$M105,"&gt;"&amp;$F106)</f>
        <v>0</v>
      </c>
    </row>
    <row r="107" spans="1:26" x14ac:dyDescent="0.3">
      <c r="A107">
        <f t="shared" ca="1" si="27"/>
        <v>88</v>
      </c>
      <c r="B107">
        <f t="shared" ca="1" si="48"/>
        <v>2</v>
      </c>
      <c r="C107" s="40">
        <f t="shared" ca="1" si="28"/>
        <v>1.3888888888888889E-3</v>
      </c>
      <c r="D107">
        <f t="shared" ca="1" si="23"/>
        <v>10</v>
      </c>
      <c r="E107" s="40">
        <f t="shared" ca="1" si="29"/>
        <v>6.9444444444444441E-3</v>
      </c>
      <c r="F107" s="40">
        <f t="shared" ca="1" si="30"/>
        <v>0.49027777777777737</v>
      </c>
      <c r="G107" s="40">
        <f t="shared" ca="1" si="31"/>
        <v>6.9444444444444198E-4</v>
      </c>
      <c r="H107" t="str">
        <f t="shared" ca="1" si="32"/>
        <v/>
      </c>
      <c r="I107" s="40" t="str">
        <f t="shared" ca="1" si="33"/>
        <v/>
      </c>
      <c r="J107" s="40">
        <f ca="1">IF(ISTEXT($F107),"",MAX($P$19:P106,$F107))</f>
        <v>0.49097222222222181</v>
      </c>
      <c r="K107" s="40">
        <f ca="1">IF(ISTEXT($F107),"",MAX($R$19:R106,$F107))</f>
        <v>0.49305555555555514</v>
      </c>
      <c r="L107" s="40">
        <f t="shared" ca="1" si="34"/>
        <v>0.49374999999999958</v>
      </c>
      <c r="M107" s="40">
        <f t="shared" ca="1" si="35"/>
        <v>0.49097222222222181</v>
      </c>
      <c r="N107">
        <f t="shared" ca="1" si="36"/>
        <v>1</v>
      </c>
      <c r="O107" s="40">
        <f t="shared" ca="1" si="37"/>
        <v>0.49097222222222181</v>
      </c>
      <c r="P107" s="40">
        <f t="shared" ca="1" si="38"/>
        <v>0.49791666666666623</v>
      </c>
      <c r="Q107" s="40" t="str">
        <f t="shared" ca="1" si="39"/>
        <v/>
      </c>
      <c r="R107" s="40">
        <f t="shared" ca="1" si="40"/>
        <v>0.49305555555555514</v>
      </c>
      <c r="S107" s="40" t="str">
        <f t="shared" ca="1" si="41"/>
        <v/>
      </c>
      <c r="T107" s="40">
        <f t="shared" ca="1" si="42"/>
        <v>0.49374999999999958</v>
      </c>
      <c r="U107" s="40" t="str">
        <f t="shared" ca="1" si="43"/>
        <v/>
      </c>
      <c r="V107" s="40">
        <f t="shared" ca="1" si="44"/>
        <v>0.49097222222222181</v>
      </c>
      <c r="W107" s="40">
        <f t="shared" ca="1" si="45"/>
        <v>7.6388888888888618E-3</v>
      </c>
      <c r="X107" s="40">
        <f t="shared" ca="1" si="46"/>
        <v>7.638888888888886E-3</v>
      </c>
      <c r="Y107" s="40">
        <f t="shared" ca="1" si="47"/>
        <v>0.49791666666666623</v>
      </c>
      <c r="Z107">
        <f ca="1">COUNTIF($M$19:$M106,"&gt;"&amp;$F107)</f>
        <v>0</v>
      </c>
    </row>
    <row r="108" spans="1:26" x14ac:dyDescent="0.3">
      <c r="A108">
        <f t="shared" ca="1" si="27"/>
        <v>89</v>
      </c>
      <c r="B108">
        <f t="shared" ca="1" si="48"/>
        <v>1</v>
      </c>
      <c r="C108" s="40">
        <f t="shared" ca="1" si="28"/>
        <v>6.9444444444444447E-4</v>
      </c>
      <c r="D108">
        <f t="shared" ca="1" si="23"/>
        <v>10</v>
      </c>
      <c r="E108" s="40">
        <f t="shared" ca="1" si="29"/>
        <v>6.9444444444444441E-3</v>
      </c>
      <c r="F108" s="40">
        <f t="shared" ca="1" si="30"/>
        <v>0.49097222222222181</v>
      </c>
      <c r="G108" s="40">
        <f t="shared" ca="1" si="31"/>
        <v>2.0833333333333259E-3</v>
      </c>
      <c r="H108" t="str">
        <f t="shared" ca="1" si="32"/>
        <v/>
      </c>
      <c r="I108" s="40" t="str">
        <f t="shared" ca="1" si="33"/>
        <v/>
      </c>
      <c r="J108" s="40">
        <f ca="1">IF(ISTEXT($F108),"",MAX($P$19:P107,$F108))</f>
        <v>0.49791666666666623</v>
      </c>
      <c r="K108" s="40">
        <f ca="1">IF(ISTEXT($F108),"",MAX($R$19:R107,$F108))</f>
        <v>0.49305555555555514</v>
      </c>
      <c r="L108" s="40">
        <f t="shared" ca="1" si="34"/>
        <v>0.49374999999999958</v>
      </c>
      <c r="M108" s="40">
        <f t="shared" ca="1" si="35"/>
        <v>0.49305555555555514</v>
      </c>
      <c r="N108">
        <f t="shared" ca="1" si="36"/>
        <v>2</v>
      </c>
      <c r="O108" s="40" t="str">
        <f t="shared" ca="1" si="37"/>
        <v/>
      </c>
      <c r="P108" s="40">
        <f t="shared" ca="1" si="38"/>
        <v>0.49791666666666623</v>
      </c>
      <c r="Q108" s="40">
        <f t="shared" ca="1" si="39"/>
        <v>0.49305555555555514</v>
      </c>
      <c r="R108" s="40">
        <f t="shared" ca="1" si="40"/>
        <v>0.49999999999999956</v>
      </c>
      <c r="S108" s="40" t="str">
        <f t="shared" ca="1" si="41"/>
        <v/>
      </c>
      <c r="T108" s="40">
        <f t="shared" ca="1" si="42"/>
        <v>0.49374999999999958</v>
      </c>
      <c r="U108" s="40" t="str">
        <f t="shared" ca="1" si="43"/>
        <v/>
      </c>
      <c r="V108" s="40">
        <f t="shared" ca="1" si="44"/>
        <v>0.49305555555555514</v>
      </c>
      <c r="W108" s="40">
        <f t="shared" ca="1" si="45"/>
        <v>9.0277777777777457E-3</v>
      </c>
      <c r="X108" s="40">
        <f t="shared" ca="1" si="46"/>
        <v>9.02777777777777E-3</v>
      </c>
      <c r="Y108" s="40">
        <f t="shared" ca="1" si="47"/>
        <v>0.49999999999999956</v>
      </c>
      <c r="Z108">
        <f ca="1">COUNTIF($M$19:$M107,"&gt;"&amp;$F108)</f>
        <v>0</v>
      </c>
    </row>
    <row r="109" spans="1:26" x14ac:dyDescent="0.3">
      <c r="A109">
        <f t="shared" ca="1" si="27"/>
        <v>90</v>
      </c>
      <c r="B109">
        <f t="shared" ca="1" si="48"/>
        <v>1</v>
      </c>
      <c r="C109" s="40">
        <f t="shared" ca="1" si="28"/>
        <v>6.9444444444444447E-4</v>
      </c>
      <c r="D109">
        <f t="shared" ca="1" si="23"/>
        <v>5</v>
      </c>
      <c r="E109" s="40">
        <f t="shared" ca="1" si="29"/>
        <v>3.472222222222222E-3</v>
      </c>
      <c r="F109" s="40">
        <f t="shared" ca="1" si="30"/>
        <v>0.49166666666666625</v>
      </c>
      <c r="G109" s="40">
        <f t="shared" ca="1" si="31"/>
        <v>2.0833333333333259E-3</v>
      </c>
      <c r="H109" t="str">
        <f t="shared" ca="1" si="32"/>
        <v/>
      </c>
      <c r="I109" s="40" t="str">
        <f t="shared" ca="1" si="33"/>
        <v/>
      </c>
      <c r="J109" s="40">
        <f ca="1">IF(ISTEXT($F109),"",MAX($P$19:P108,$F109))</f>
        <v>0.49791666666666623</v>
      </c>
      <c r="K109" s="40">
        <f ca="1">IF(ISTEXT($F109),"",MAX($R$19:R108,$F109))</f>
        <v>0.49999999999999956</v>
      </c>
      <c r="L109" s="40">
        <f t="shared" ca="1" si="34"/>
        <v>0.49374999999999958</v>
      </c>
      <c r="M109" s="40">
        <f t="shared" ca="1" si="35"/>
        <v>0.49374999999999958</v>
      </c>
      <c r="N109">
        <f t="shared" ca="1" si="36"/>
        <v>3</v>
      </c>
      <c r="O109" s="40" t="str">
        <f t="shared" ca="1" si="37"/>
        <v/>
      </c>
      <c r="P109" s="40">
        <f t="shared" ca="1" si="38"/>
        <v>0.49791666666666623</v>
      </c>
      <c r="Q109" s="40" t="str">
        <f t="shared" ca="1" si="39"/>
        <v/>
      </c>
      <c r="R109" s="40">
        <f t="shared" ca="1" si="40"/>
        <v>0.49999999999999956</v>
      </c>
      <c r="S109" s="40">
        <f t="shared" ca="1" si="41"/>
        <v>0.49374999999999958</v>
      </c>
      <c r="T109" s="40">
        <f t="shared" ca="1" si="42"/>
        <v>0.49722222222222179</v>
      </c>
      <c r="U109" s="40" t="str">
        <f t="shared" ca="1" si="43"/>
        <v/>
      </c>
      <c r="V109" s="40">
        <f t="shared" ca="1" si="44"/>
        <v>0.49374999999999958</v>
      </c>
      <c r="W109" s="40">
        <f t="shared" ca="1" si="45"/>
        <v>5.5555555555555358E-3</v>
      </c>
      <c r="X109" s="40">
        <f t="shared" ca="1" si="46"/>
        <v>5.555555555555548E-3</v>
      </c>
      <c r="Y109" s="40">
        <f t="shared" ca="1" si="47"/>
        <v>0.49722222222222179</v>
      </c>
      <c r="Z109">
        <f ca="1">COUNTIF($M$19:$M108,"&gt;"&amp;$F109)</f>
        <v>1</v>
      </c>
    </row>
    <row r="110" spans="1:26" x14ac:dyDescent="0.3">
      <c r="A110">
        <f t="shared" ca="1" si="27"/>
        <v>91</v>
      </c>
      <c r="B110">
        <f t="shared" ca="1" si="48"/>
        <v>1</v>
      </c>
      <c r="C110" s="40">
        <f t="shared" ca="1" si="28"/>
        <v>6.9444444444444447E-4</v>
      </c>
      <c r="D110">
        <f t="shared" ca="1" si="23"/>
        <v>3</v>
      </c>
      <c r="E110" s="40">
        <f t="shared" ca="1" si="29"/>
        <v>2.0833333333333333E-3</v>
      </c>
      <c r="F110" s="40">
        <f t="shared" ca="1" si="30"/>
        <v>0.49236111111111069</v>
      </c>
      <c r="G110" s="40">
        <f t="shared" ca="1" si="31"/>
        <v>4.8611111111110938E-3</v>
      </c>
      <c r="H110" t="str">
        <f t="shared" ca="1" si="32"/>
        <v>ушёл</v>
      </c>
      <c r="I110" s="40">
        <f t="shared" ca="1" si="33"/>
        <v>0.49513888888888846</v>
      </c>
      <c r="J110" s="40">
        <f ca="1">IF(ISTEXT($F110),"",MAX($P$19:P109,$F110))</f>
        <v>0.49791666666666623</v>
      </c>
      <c r="K110" s="40">
        <f ca="1">IF(ISTEXT($F110),"",MAX($R$19:R109,$F110))</f>
        <v>0.49999999999999956</v>
      </c>
      <c r="L110" s="40">
        <f t="shared" ca="1" si="34"/>
        <v>0.49722222222222179</v>
      </c>
      <c r="M110" s="40">
        <f t="shared" ca="1" si="35"/>
        <v>0.49722222222222179</v>
      </c>
      <c r="N110" t="str">
        <f t="shared" ca="1" si="36"/>
        <v/>
      </c>
      <c r="O110" s="40" t="str">
        <f t="shared" ca="1" si="37"/>
        <v/>
      </c>
      <c r="P110" s="40">
        <f t="shared" ca="1" si="38"/>
        <v>0.49791666666666623</v>
      </c>
      <c r="Q110" s="40" t="str">
        <f t="shared" ca="1" si="39"/>
        <v/>
      </c>
      <c r="R110" s="40">
        <f t="shared" ca="1" si="40"/>
        <v>0.49999999999999956</v>
      </c>
      <c r="S110" s="40" t="str">
        <f t="shared" ca="1" si="41"/>
        <v/>
      </c>
      <c r="T110" s="40">
        <f t="shared" ca="1" si="42"/>
        <v>0.49722222222222179</v>
      </c>
      <c r="U110" s="40">
        <f t="shared" ca="1" si="43"/>
        <v>2.7777777777777679E-3</v>
      </c>
      <c r="V110" s="40">
        <f t="shared" ca="1" si="44"/>
        <v>0.49722222222222179</v>
      </c>
      <c r="W110" s="40">
        <f t="shared" ca="1" si="45"/>
        <v>2.7777777777777679E-3</v>
      </c>
      <c r="X110" s="40">
        <f t="shared" ca="1" si="46"/>
        <v>2.7777777777777679E-3</v>
      </c>
      <c r="Y110" s="40">
        <f t="shared" ca="1" si="47"/>
        <v>0.49513888888888846</v>
      </c>
      <c r="Z110">
        <f ca="1">COUNTIF($M$19:$M109,"&gt;"&amp;$F110)</f>
        <v>2</v>
      </c>
    </row>
    <row r="111" spans="1:26" x14ac:dyDescent="0.3">
      <c r="A111">
        <f t="shared" ca="1" si="27"/>
        <v>92</v>
      </c>
      <c r="B111">
        <f t="shared" ca="1" si="48"/>
        <v>3</v>
      </c>
      <c r="C111" s="40">
        <f t="shared" ca="1" si="28"/>
        <v>2.0833333333333333E-3</v>
      </c>
      <c r="D111">
        <f t="shared" ca="1" si="23"/>
        <v>1</v>
      </c>
      <c r="E111" s="40">
        <f t="shared" ca="1" si="29"/>
        <v>6.9444444444444447E-4</v>
      </c>
      <c r="F111" s="40">
        <f t="shared" ca="1" si="30"/>
        <v>0.49444444444444402</v>
      </c>
      <c r="G111" s="40">
        <f t="shared" ca="1" si="31"/>
        <v>2.7777777777777679E-3</v>
      </c>
      <c r="H111" t="str">
        <f t="shared" ca="1" si="32"/>
        <v/>
      </c>
      <c r="I111" s="40" t="str">
        <f t="shared" ca="1" si="33"/>
        <v/>
      </c>
      <c r="J111" s="40">
        <f ca="1">IF(ISTEXT($F111),"",MAX($P$19:P110,$F111))</f>
        <v>0.49791666666666623</v>
      </c>
      <c r="K111" s="40">
        <f ca="1">IF(ISTEXT($F111),"",MAX($R$19:R110,$F111))</f>
        <v>0.49999999999999956</v>
      </c>
      <c r="L111" s="40">
        <f t="shared" ca="1" si="34"/>
        <v>0.49722222222222179</v>
      </c>
      <c r="M111" s="40">
        <f t="shared" ca="1" si="35"/>
        <v>0.49722222222222179</v>
      </c>
      <c r="N111">
        <f t="shared" ca="1" si="36"/>
        <v>3</v>
      </c>
      <c r="O111" s="40" t="str">
        <f t="shared" ca="1" si="37"/>
        <v/>
      </c>
      <c r="P111" s="40">
        <f t="shared" ca="1" si="38"/>
        <v>0.49791666666666623</v>
      </c>
      <c r="Q111" s="40" t="str">
        <f t="shared" ca="1" si="39"/>
        <v/>
      </c>
      <c r="R111" s="40">
        <f t="shared" ca="1" si="40"/>
        <v>0.49999999999999956</v>
      </c>
      <c r="S111" s="40">
        <f t="shared" ca="1" si="41"/>
        <v>0.49722222222222179</v>
      </c>
      <c r="T111" s="40">
        <f t="shared" ca="1" si="42"/>
        <v>0.49791666666666623</v>
      </c>
      <c r="U111" s="40" t="str">
        <f t="shared" ca="1" si="43"/>
        <v/>
      </c>
      <c r="V111" s="40">
        <f t="shared" ca="1" si="44"/>
        <v>0.49722222222222179</v>
      </c>
      <c r="W111" s="40">
        <f t="shared" ca="1" si="45"/>
        <v>3.4722222222222099E-3</v>
      </c>
      <c r="X111" s="40">
        <f t="shared" ca="1" si="46"/>
        <v>3.4722222222222125E-3</v>
      </c>
      <c r="Y111" s="40">
        <f t="shared" ca="1" si="47"/>
        <v>0.49791666666666623</v>
      </c>
      <c r="Z111">
        <f ca="1">COUNTIF($M$19:$M110,"&gt;"&amp;$F111)</f>
        <v>1</v>
      </c>
    </row>
    <row r="112" spans="1:26" x14ac:dyDescent="0.3">
      <c r="A112">
        <f t="shared" ca="1" si="27"/>
        <v>93</v>
      </c>
      <c r="B112">
        <f t="shared" ca="1" si="48"/>
        <v>2</v>
      </c>
      <c r="C112" s="40">
        <f t="shared" ca="1" si="28"/>
        <v>1.3888888888888889E-3</v>
      </c>
      <c r="D112">
        <f t="shared" ca="1" si="23"/>
        <v>10</v>
      </c>
      <c r="E112" s="40">
        <f t="shared" ca="1" si="29"/>
        <v>6.9444444444444441E-3</v>
      </c>
      <c r="F112" s="40">
        <f t="shared" ca="1" si="30"/>
        <v>0.4958333333333329</v>
      </c>
      <c r="G112" s="40">
        <f t="shared" ca="1" si="31"/>
        <v>2.0833333333333259E-3</v>
      </c>
      <c r="H112" t="str">
        <f t="shared" ca="1" si="32"/>
        <v/>
      </c>
      <c r="I112" s="40" t="str">
        <f t="shared" ca="1" si="33"/>
        <v/>
      </c>
      <c r="J112" s="40">
        <f ca="1">IF(ISTEXT($F112),"",MAX($P$19:P111,$F112))</f>
        <v>0.49791666666666623</v>
      </c>
      <c r="K112" s="40">
        <f ca="1">IF(ISTEXT($F112),"",MAX($R$19:R111,$F112))</f>
        <v>0.49999999999999956</v>
      </c>
      <c r="L112" s="40">
        <f t="shared" ca="1" si="34"/>
        <v>0.49791666666666623</v>
      </c>
      <c r="M112" s="40">
        <f t="shared" ca="1" si="35"/>
        <v>0.49791666666666623</v>
      </c>
      <c r="N112">
        <f t="shared" ca="1" si="36"/>
        <v>1</v>
      </c>
      <c r="O112" s="40">
        <f t="shared" ca="1" si="37"/>
        <v>0.49791666666666623</v>
      </c>
      <c r="P112" s="40">
        <f t="shared" ca="1" si="38"/>
        <v>0.50486111111111065</v>
      </c>
      <c r="Q112" s="40" t="str">
        <f t="shared" ca="1" si="39"/>
        <v/>
      </c>
      <c r="R112" s="40">
        <f t="shared" ca="1" si="40"/>
        <v>0.49999999999999956</v>
      </c>
      <c r="S112" s="40" t="str">
        <f t="shared" ca="1" si="41"/>
        <v/>
      </c>
      <c r="T112" s="40">
        <f t="shared" ca="1" si="42"/>
        <v>0.49791666666666623</v>
      </c>
      <c r="U112" s="40" t="str">
        <f t="shared" ca="1" si="43"/>
        <v/>
      </c>
      <c r="V112" s="40">
        <f t="shared" ca="1" si="44"/>
        <v>0.49791666666666623</v>
      </c>
      <c r="W112" s="40">
        <f t="shared" ca="1" si="45"/>
        <v>9.0277777777777457E-3</v>
      </c>
      <c r="X112" s="40">
        <f t="shared" ca="1" si="46"/>
        <v>9.02777777777777E-3</v>
      </c>
      <c r="Y112" s="40">
        <f t="shared" ca="1" si="47"/>
        <v>0.50486111111111065</v>
      </c>
      <c r="Z112">
        <f ca="1">COUNTIF($M$19:$M111,"&gt;"&amp;$F112)</f>
        <v>2</v>
      </c>
    </row>
    <row r="113" spans="1:26" x14ac:dyDescent="0.3">
      <c r="A113">
        <f t="shared" ca="1" si="27"/>
        <v>94</v>
      </c>
      <c r="B113">
        <f t="shared" ca="1" si="48"/>
        <v>1</v>
      </c>
      <c r="C113" s="40">
        <f t="shared" ca="1" si="28"/>
        <v>6.9444444444444447E-4</v>
      </c>
      <c r="D113">
        <f t="shared" ca="1" si="23"/>
        <v>3</v>
      </c>
      <c r="E113" s="40">
        <f t="shared" ca="1" si="29"/>
        <v>2.0833333333333333E-3</v>
      </c>
      <c r="F113" s="40">
        <f t="shared" ca="1" si="30"/>
        <v>0.49652777777777735</v>
      </c>
      <c r="G113" s="40">
        <f t="shared" ca="1" si="31"/>
        <v>1.388888888888884E-3</v>
      </c>
      <c r="H113" t="str">
        <f t="shared" ca="1" si="32"/>
        <v/>
      </c>
      <c r="I113" s="40" t="str">
        <f t="shared" ca="1" si="33"/>
        <v/>
      </c>
      <c r="J113" s="40">
        <f ca="1">IF(ISTEXT($F113),"",MAX($P$19:P112,$F113))</f>
        <v>0.50486111111111065</v>
      </c>
      <c r="K113" s="40">
        <f ca="1">IF(ISTEXT($F113),"",MAX($R$19:R112,$F113))</f>
        <v>0.49999999999999956</v>
      </c>
      <c r="L113" s="40">
        <f t="shared" ca="1" si="34"/>
        <v>0.49791666666666623</v>
      </c>
      <c r="M113" s="40">
        <f t="shared" ca="1" si="35"/>
        <v>0.49791666666666623</v>
      </c>
      <c r="N113">
        <f t="shared" ca="1" si="36"/>
        <v>3</v>
      </c>
      <c r="O113" s="40" t="str">
        <f t="shared" ca="1" si="37"/>
        <v/>
      </c>
      <c r="P113" s="40">
        <f t="shared" ca="1" si="38"/>
        <v>0.50486111111111065</v>
      </c>
      <c r="Q113" s="40" t="str">
        <f t="shared" ca="1" si="39"/>
        <v/>
      </c>
      <c r="R113" s="40">
        <f t="shared" ca="1" si="40"/>
        <v>0.49999999999999956</v>
      </c>
      <c r="S113" s="40">
        <f t="shared" ca="1" si="41"/>
        <v>0.49791666666666623</v>
      </c>
      <c r="T113" s="40">
        <f t="shared" ca="1" si="42"/>
        <v>0.49999999999999956</v>
      </c>
      <c r="U113" s="40" t="str">
        <f t="shared" ca="1" si="43"/>
        <v/>
      </c>
      <c r="V113" s="40">
        <f t="shared" ca="1" si="44"/>
        <v>0.49791666666666623</v>
      </c>
      <c r="W113" s="40">
        <f t="shared" ca="1" si="45"/>
        <v>3.4722222222222099E-3</v>
      </c>
      <c r="X113" s="40">
        <f t="shared" ca="1" si="46"/>
        <v>3.4722222222222173E-3</v>
      </c>
      <c r="Y113" s="40">
        <f t="shared" ca="1" si="47"/>
        <v>0.49999999999999956</v>
      </c>
      <c r="Z113">
        <f ca="1">COUNTIF($M$19:$M112,"&gt;"&amp;$F113)</f>
        <v>3</v>
      </c>
    </row>
    <row r="114" spans="1:26" x14ac:dyDescent="0.3">
      <c r="A114">
        <f t="shared" ca="1" si="27"/>
        <v>95</v>
      </c>
      <c r="B114">
        <f t="shared" ca="1" si="48"/>
        <v>2</v>
      </c>
      <c r="C114" s="40">
        <f t="shared" ca="1" si="28"/>
        <v>1.3888888888888889E-3</v>
      </c>
      <c r="D114">
        <f t="shared" ca="1" si="23"/>
        <v>5</v>
      </c>
      <c r="E114" s="40">
        <f t="shared" ca="1" si="29"/>
        <v>3.472222222222222E-3</v>
      </c>
      <c r="F114" s="40">
        <f t="shared" ca="1" si="30"/>
        <v>0.49791666666666623</v>
      </c>
      <c r="G114" s="40">
        <f t="shared" ca="1" si="31"/>
        <v>2.0833333333333259E-3</v>
      </c>
      <c r="H114" t="str">
        <f t="shared" ca="1" si="32"/>
        <v/>
      </c>
      <c r="I114" s="40" t="str">
        <f t="shared" ca="1" si="33"/>
        <v/>
      </c>
      <c r="J114" s="40">
        <f ca="1">IF(ISTEXT($F114),"",MAX($P$19:P113,$F114))</f>
        <v>0.50486111111111065</v>
      </c>
      <c r="K114" s="40">
        <f ca="1">IF(ISTEXT($F114),"",MAX($R$19:R113,$F114))</f>
        <v>0.49999999999999956</v>
      </c>
      <c r="L114" s="40">
        <f t="shared" ca="1" si="34"/>
        <v>0.49999999999999956</v>
      </c>
      <c r="M114" s="40">
        <f t="shared" ca="1" si="35"/>
        <v>0.49999999999999956</v>
      </c>
      <c r="N114">
        <f t="shared" ca="1" si="36"/>
        <v>2</v>
      </c>
      <c r="O114" s="40" t="str">
        <f t="shared" ca="1" si="37"/>
        <v/>
      </c>
      <c r="P114" s="40">
        <f t="shared" ca="1" si="38"/>
        <v>0.50486111111111065</v>
      </c>
      <c r="Q114" s="40">
        <f t="shared" ca="1" si="39"/>
        <v>0.49999999999999956</v>
      </c>
      <c r="R114" s="40">
        <f t="shared" ca="1" si="40"/>
        <v>0.50347222222222177</v>
      </c>
      <c r="S114" s="40" t="str">
        <f t="shared" ca="1" si="41"/>
        <v/>
      </c>
      <c r="T114" s="40">
        <f t="shared" ca="1" si="42"/>
        <v>0.49999999999999956</v>
      </c>
      <c r="U114" s="40" t="str">
        <f t="shared" ca="1" si="43"/>
        <v/>
      </c>
      <c r="V114" s="40">
        <f t="shared" ca="1" si="44"/>
        <v>0.49999999999999956</v>
      </c>
      <c r="W114" s="40">
        <f t="shared" ca="1" si="45"/>
        <v>5.5555555555555358E-3</v>
      </c>
      <c r="X114" s="40">
        <f t="shared" ca="1" si="46"/>
        <v>5.555555555555548E-3</v>
      </c>
      <c r="Y114" s="40">
        <f t="shared" ca="1" si="47"/>
        <v>0.50347222222222177</v>
      </c>
      <c r="Z114">
        <f ca="1">COUNTIF($M$19:$M113,"&gt;"&amp;$F114)</f>
        <v>0</v>
      </c>
    </row>
    <row r="115" spans="1:26" x14ac:dyDescent="0.3">
      <c r="A115">
        <f t="shared" ca="1" si="27"/>
        <v>96</v>
      </c>
      <c r="B115">
        <f t="shared" ca="1" si="48"/>
        <v>1</v>
      </c>
      <c r="C115" s="40">
        <f t="shared" ca="1" si="28"/>
        <v>6.9444444444444447E-4</v>
      </c>
      <c r="D115">
        <f t="shared" ca="1" si="23"/>
        <v>3</v>
      </c>
      <c r="E115" s="40">
        <f t="shared" ca="1" si="29"/>
        <v>2.0833333333333333E-3</v>
      </c>
      <c r="F115" s="40">
        <f t="shared" ca="1" si="30"/>
        <v>0.49861111111111067</v>
      </c>
      <c r="G115" s="40">
        <f t="shared" ca="1" si="31"/>
        <v>1.388888888888884E-3</v>
      </c>
      <c r="H115" t="str">
        <f t="shared" ca="1" si="32"/>
        <v/>
      </c>
      <c r="I115" s="40" t="str">
        <f t="shared" ca="1" si="33"/>
        <v/>
      </c>
      <c r="J115" s="40">
        <f ca="1">IF(ISTEXT($F115),"",MAX($P$19:P114,$F115))</f>
        <v>0.50486111111111065</v>
      </c>
      <c r="K115" s="40">
        <f ca="1">IF(ISTEXT($F115),"",MAX($R$19:R114,$F115))</f>
        <v>0.50347222222222177</v>
      </c>
      <c r="L115" s="40">
        <f t="shared" ca="1" si="34"/>
        <v>0.49999999999999956</v>
      </c>
      <c r="M115" s="40">
        <f t="shared" ca="1" si="35"/>
        <v>0.49999999999999956</v>
      </c>
      <c r="N115">
        <f t="shared" ca="1" si="36"/>
        <v>3</v>
      </c>
      <c r="O115" s="40" t="str">
        <f t="shared" ca="1" si="37"/>
        <v/>
      </c>
      <c r="P115" s="40">
        <f t="shared" ca="1" si="38"/>
        <v>0.50486111111111065</v>
      </c>
      <c r="Q115" s="40" t="str">
        <f t="shared" ca="1" si="39"/>
        <v/>
      </c>
      <c r="R115" s="40">
        <f t="shared" ca="1" si="40"/>
        <v>0.50347222222222177</v>
      </c>
      <c r="S115" s="40">
        <f t="shared" ca="1" si="41"/>
        <v>0.49999999999999956</v>
      </c>
      <c r="T115" s="40">
        <f t="shared" ca="1" si="42"/>
        <v>0.50208333333333288</v>
      </c>
      <c r="U115" s="40" t="str">
        <f t="shared" ca="1" si="43"/>
        <v/>
      </c>
      <c r="V115" s="40">
        <f t="shared" ca="1" si="44"/>
        <v>0.49999999999999956</v>
      </c>
      <c r="W115" s="40">
        <f t="shared" ca="1" si="45"/>
        <v>3.4722222222222099E-3</v>
      </c>
      <c r="X115" s="40">
        <f t="shared" ca="1" si="46"/>
        <v>3.4722222222222173E-3</v>
      </c>
      <c r="Y115" s="40">
        <f t="shared" ca="1" si="47"/>
        <v>0.50208333333333288</v>
      </c>
      <c r="Z115">
        <f ca="1">COUNTIF($M$19:$M114,"&gt;"&amp;$F115)</f>
        <v>1</v>
      </c>
    </row>
    <row r="116" spans="1:26" x14ac:dyDescent="0.3">
      <c r="A116">
        <f t="shared" ca="1" si="27"/>
        <v>97</v>
      </c>
      <c r="B116">
        <f t="shared" ca="1" si="48"/>
        <v>2</v>
      </c>
      <c r="C116" s="40">
        <f t="shared" ca="1" si="28"/>
        <v>1.3888888888888889E-3</v>
      </c>
      <c r="D116">
        <f t="shared" ref="D116:D119" ca="1" si="49">VLOOKUP(RAND(),SRVT,3)</f>
        <v>10</v>
      </c>
      <c r="E116" s="40">
        <f t="shared" ca="1" si="29"/>
        <v>6.9444444444444441E-3</v>
      </c>
      <c r="F116" s="40">
        <f t="shared" ca="1" si="30"/>
        <v>0.49999999999999956</v>
      </c>
      <c r="G116" s="40">
        <f t="shared" ca="1" si="31"/>
        <v>2.0833333333333259E-3</v>
      </c>
      <c r="H116" t="str">
        <f t="shared" ca="1" si="32"/>
        <v/>
      </c>
      <c r="I116" s="40" t="str">
        <f t="shared" ca="1" si="33"/>
        <v/>
      </c>
      <c r="J116" s="40">
        <f ca="1">IF(ISTEXT($F116),"",MAX($P$19:P115,$F116))</f>
        <v>0.50486111111111065</v>
      </c>
      <c r="K116" s="40">
        <f ca="1">IF(ISTEXT($F116),"",MAX($R$19:R115,$F116))</f>
        <v>0.50347222222222177</v>
      </c>
      <c r="L116" s="40">
        <f t="shared" ca="1" si="34"/>
        <v>0.50208333333333288</v>
      </c>
      <c r="M116" s="40">
        <f t="shared" ca="1" si="35"/>
        <v>0.50208333333333288</v>
      </c>
      <c r="N116">
        <f t="shared" ca="1" si="36"/>
        <v>3</v>
      </c>
      <c r="O116" s="40" t="str">
        <f t="shared" ca="1" si="37"/>
        <v/>
      </c>
      <c r="P116" s="40">
        <f t="shared" ca="1" si="38"/>
        <v>0.50486111111111065</v>
      </c>
      <c r="Q116" s="40" t="str">
        <f t="shared" ca="1" si="39"/>
        <v/>
      </c>
      <c r="R116" s="40">
        <f t="shared" ca="1" si="40"/>
        <v>0.50347222222222177</v>
      </c>
      <c r="S116" s="40">
        <f t="shared" ca="1" si="41"/>
        <v>0.50208333333333288</v>
      </c>
      <c r="T116" s="40">
        <f t="shared" ca="1" si="42"/>
        <v>0.5090277777777773</v>
      </c>
      <c r="U116" s="40" t="str">
        <f t="shared" ca="1" si="43"/>
        <v/>
      </c>
      <c r="V116" s="40">
        <f t="shared" ca="1" si="44"/>
        <v>0.50208333333333288</v>
      </c>
      <c r="W116" s="40">
        <f t="shared" ca="1" si="45"/>
        <v>9.0277777777777457E-3</v>
      </c>
      <c r="X116" s="40">
        <f t="shared" ca="1" si="46"/>
        <v>9.02777777777777E-3</v>
      </c>
      <c r="Y116" s="40">
        <f t="shared" ca="1" si="47"/>
        <v>0.5090277777777773</v>
      </c>
      <c r="Z116">
        <f ca="1">COUNTIF($M$19:$M115,"&gt;"&amp;$F116)</f>
        <v>0</v>
      </c>
    </row>
    <row r="117" spans="1:26" x14ac:dyDescent="0.3">
      <c r="A117">
        <f t="shared" ca="1" si="27"/>
        <v>98</v>
      </c>
      <c r="B117">
        <f t="shared" ca="1" si="48"/>
        <v>1</v>
      </c>
      <c r="C117" s="40">
        <f t="shared" ca="1" si="28"/>
        <v>6.9444444444444447E-4</v>
      </c>
      <c r="D117">
        <f t="shared" ca="1" si="49"/>
        <v>3</v>
      </c>
      <c r="E117" s="40">
        <f t="shared" ca="1" si="29"/>
        <v>2.0833333333333333E-3</v>
      </c>
      <c r="F117" s="40">
        <f t="shared" ca="1" si="30"/>
        <v>0.500694444444444</v>
      </c>
      <c r="G117" s="40">
        <f t="shared" ca="1" si="31"/>
        <v>2.7777777777777679E-3</v>
      </c>
      <c r="H117" t="str">
        <f t="shared" ca="1" si="32"/>
        <v/>
      </c>
      <c r="I117" s="40" t="str">
        <f t="shared" ca="1" si="33"/>
        <v/>
      </c>
      <c r="J117" s="40">
        <f ca="1">IF(ISTEXT($F117),"",MAX($P$19:P116,$F117))</f>
        <v>0.50486111111111065</v>
      </c>
      <c r="K117" s="40">
        <f ca="1">IF(ISTEXT($F117),"",MAX($R$19:R116,$F117))</f>
        <v>0.50347222222222177</v>
      </c>
      <c r="L117" s="40">
        <f t="shared" ca="1" si="34"/>
        <v>0.5090277777777773</v>
      </c>
      <c r="M117" s="40">
        <f t="shared" ca="1" si="35"/>
        <v>0.50347222222222177</v>
      </c>
      <c r="N117">
        <f t="shared" ca="1" si="36"/>
        <v>2</v>
      </c>
      <c r="O117" s="40" t="str">
        <f t="shared" ca="1" si="37"/>
        <v/>
      </c>
      <c r="P117" s="40">
        <f t="shared" ca="1" si="38"/>
        <v>0.50486111111111065</v>
      </c>
      <c r="Q117" s="40">
        <f t="shared" ca="1" si="39"/>
        <v>0.50347222222222177</v>
      </c>
      <c r="R117" s="40">
        <f t="shared" ca="1" si="40"/>
        <v>0.50555555555555509</v>
      </c>
      <c r="S117" s="40" t="str">
        <f t="shared" ca="1" si="41"/>
        <v/>
      </c>
      <c r="T117" s="40">
        <f t="shared" ca="1" si="42"/>
        <v>0.5090277777777773</v>
      </c>
      <c r="U117" s="40" t="str">
        <f t="shared" ca="1" si="43"/>
        <v/>
      </c>
      <c r="V117" s="40">
        <f t="shared" ca="1" si="44"/>
        <v>0.50347222222222177</v>
      </c>
      <c r="W117" s="40">
        <f t="shared" ca="1" si="45"/>
        <v>4.8611111111110938E-3</v>
      </c>
      <c r="X117" s="40">
        <f t="shared" ca="1" si="46"/>
        <v>4.8611111111111008E-3</v>
      </c>
      <c r="Y117" s="40">
        <f t="shared" ca="1" si="47"/>
        <v>0.50555555555555509</v>
      </c>
      <c r="Z117">
        <f ca="1">COUNTIF($M$19:$M116,"&gt;"&amp;$F117)</f>
        <v>1</v>
      </c>
    </row>
    <row r="118" spans="1:26" x14ac:dyDescent="0.3">
      <c r="A118">
        <f t="shared" ca="1" si="27"/>
        <v>99</v>
      </c>
      <c r="B118">
        <f t="shared" ca="1" si="48"/>
        <v>2</v>
      </c>
      <c r="C118" s="40">
        <f t="shared" ca="1" si="28"/>
        <v>1.3888888888888889E-3</v>
      </c>
      <c r="D118">
        <f t="shared" ca="1" si="49"/>
        <v>10</v>
      </c>
      <c r="E118" s="40">
        <f t="shared" ca="1" si="29"/>
        <v>6.9444444444444441E-3</v>
      </c>
      <c r="F118" s="40">
        <f t="shared" ca="1" si="30"/>
        <v>0.50208333333333288</v>
      </c>
      <c r="G118" s="40">
        <f t="shared" ca="1" si="31"/>
        <v>2.7777777777777679E-3</v>
      </c>
      <c r="H118" t="str">
        <f t="shared" ca="1" si="32"/>
        <v/>
      </c>
      <c r="I118" s="40" t="str">
        <f t="shared" ca="1" si="33"/>
        <v/>
      </c>
      <c r="J118" s="40">
        <f ca="1">IF(ISTEXT($F118),"",MAX($P$19:P117,$F118))</f>
        <v>0.50486111111111065</v>
      </c>
      <c r="K118" s="40">
        <f ca="1">IF(ISTEXT($F118),"",MAX($R$19:R117,$F118))</f>
        <v>0.50555555555555509</v>
      </c>
      <c r="L118" s="40">
        <f t="shared" ca="1" si="34"/>
        <v>0.5090277777777773</v>
      </c>
      <c r="M118" s="40">
        <f t="shared" ca="1" si="35"/>
        <v>0.50486111111111065</v>
      </c>
      <c r="N118">
        <f t="shared" ca="1" si="36"/>
        <v>1</v>
      </c>
      <c r="O118" s="40">
        <f t="shared" ca="1" si="37"/>
        <v>0.50486111111111065</v>
      </c>
      <c r="P118" s="40">
        <f t="shared" ca="1" si="38"/>
        <v>0.51180555555555507</v>
      </c>
      <c r="Q118" s="40" t="str">
        <f t="shared" ca="1" si="39"/>
        <v/>
      </c>
      <c r="R118" s="40">
        <f t="shared" ca="1" si="40"/>
        <v>0.50555555555555509</v>
      </c>
      <c r="S118" s="40" t="str">
        <f t="shared" ca="1" si="41"/>
        <v/>
      </c>
      <c r="T118" s="40">
        <f t="shared" ca="1" si="42"/>
        <v>0.5090277777777773</v>
      </c>
      <c r="U118" s="40" t="str">
        <f t="shared" ca="1" si="43"/>
        <v/>
      </c>
      <c r="V118" s="40">
        <f t="shared" ca="1" si="44"/>
        <v>0.50486111111111065</v>
      </c>
      <c r="W118" s="40">
        <f t="shared" ca="1" si="45"/>
        <v>9.7222222222221877E-3</v>
      </c>
      <c r="X118" s="40">
        <f t="shared" ca="1" si="46"/>
        <v>9.722222222222212E-3</v>
      </c>
      <c r="Y118" s="40">
        <f t="shared" ca="1" si="47"/>
        <v>0.51180555555555507</v>
      </c>
      <c r="Z118">
        <f ca="1">COUNTIF($M$19:$M117,"&gt;"&amp;$F118)</f>
        <v>1</v>
      </c>
    </row>
    <row r="119" spans="1:26" x14ac:dyDescent="0.3">
      <c r="A119">
        <f t="shared" ca="1" si="27"/>
        <v>100</v>
      </c>
      <c r="B119">
        <f t="shared" ca="1" si="48"/>
        <v>1</v>
      </c>
      <c r="C119" s="40">
        <f t="shared" ca="1" si="28"/>
        <v>6.9444444444444447E-4</v>
      </c>
      <c r="D119">
        <f t="shared" ca="1" si="49"/>
        <v>10</v>
      </c>
      <c r="E119" s="40">
        <f t="shared" ca="1" si="29"/>
        <v>6.9444444444444441E-3</v>
      </c>
      <c r="F119" s="40">
        <f t="shared" ca="1" si="30"/>
        <v>0.50277777777777732</v>
      </c>
      <c r="G119" s="40">
        <f t="shared" ca="1" si="31"/>
        <v>2.7777777777777679E-3</v>
      </c>
      <c r="H119" t="str">
        <f t="shared" ca="1" si="32"/>
        <v/>
      </c>
      <c r="I119" s="40" t="str">
        <f t="shared" ca="1" si="33"/>
        <v/>
      </c>
      <c r="J119" s="40">
        <f ca="1">IF(ISTEXT($F119),"",MAX($P$19:P118,$F119))</f>
        <v>0.51180555555555507</v>
      </c>
      <c r="K119" s="40">
        <f ca="1">IF(ISTEXT($F119),"",MAX($R$19:R118,$F119))</f>
        <v>0.50555555555555509</v>
      </c>
      <c r="L119" s="40">
        <f t="shared" ca="1" si="34"/>
        <v>0.5090277777777773</v>
      </c>
      <c r="M119" s="40">
        <f t="shared" ca="1" si="35"/>
        <v>0.50555555555555509</v>
      </c>
      <c r="N119">
        <f t="shared" ca="1" si="36"/>
        <v>2</v>
      </c>
      <c r="O119" s="40" t="str">
        <f t="shared" ca="1" si="37"/>
        <v/>
      </c>
      <c r="P119" s="40">
        <f t="shared" ca="1" si="38"/>
        <v>0.51180555555555507</v>
      </c>
      <c r="Q119" s="40">
        <f t="shared" ca="1" si="39"/>
        <v>0.50555555555555509</v>
      </c>
      <c r="R119" s="40">
        <f t="shared" ca="1" si="40"/>
        <v>0.51249999999999951</v>
      </c>
      <c r="S119" s="40" t="str">
        <f t="shared" ca="1" si="41"/>
        <v/>
      </c>
      <c r="T119" s="40">
        <f t="shared" ca="1" si="42"/>
        <v>0.5090277777777773</v>
      </c>
      <c r="U119" s="40" t="str">
        <f t="shared" ca="1" si="43"/>
        <v/>
      </c>
      <c r="V119" s="40">
        <f t="shared" ca="1" si="44"/>
        <v>0.50555555555555509</v>
      </c>
      <c r="W119" s="40">
        <f t="shared" ca="1" si="45"/>
        <v>9.7222222222221877E-3</v>
      </c>
      <c r="X119" s="40">
        <f t="shared" ca="1" si="46"/>
        <v>9.722222222222212E-3</v>
      </c>
      <c r="Y119" s="40">
        <f t="shared" ca="1" si="47"/>
        <v>0.51249999999999951</v>
      </c>
      <c r="Z119">
        <f ca="1">COUNTIF($M$19:$M118,"&gt;"&amp;$F119)</f>
        <v>2</v>
      </c>
    </row>
    <row r="121" spans="1:26" x14ac:dyDescent="0.3">
      <c r="E121" s="42" t="s">
        <v>68</v>
      </c>
      <c r="F121" s="43"/>
      <c r="G121" s="43"/>
      <c r="H121" s="43">
        <f ca="1">COUNTIF(H20:H119,"ушёл")</f>
        <v>9</v>
      </c>
      <c r="I121" s="44">
        <f ca="1">H121/50</f>
        <v>0.18</v>
      </c>
      <c r="L121" s="1" t="s">
        <v>61</v>
      </c>
      <c r="N121">
        <f ca="1">COUNTIF(N$20:N$119,1)</f>
        <v>28</v>
      </c>
      <c r="O121" s="45" t="s">
        <v>65</v>
      </c>
      <c r="P121" s="41"/>
      <c r="Q121" s="41"/>
      <c r="R121" s="46">
        <f ca="1">N121/SUM(N$121:N$123)</f>
        <v>0.30769230769230771</v>
      </c>
      <c r="T121" s="41" t="s">
        <v>59</v>
      </c>
      <c r="W121" s="40">
        <f ca="1">AVERAGE(W20:W119)</f>
        <v>4.8958333333333163E-3</v>
      </c>
      <c r="Y121" s="41" t="s">
        <v>64</v>
      </c>
    </row>
    <row r="122" spans="1:26" x14ac:dyDescent="0.3">
      <c r="L122" s="1" t="s">
        <v>62</v>
      </c>
      <c r="N122">
        <f ca="1">COUNTIF(N$20:N$119,2)</f>
        <v>36</v>
      </c>
      <c r="O122" s="45" t="s">
        <v>66</v>
      </c>
      <c r="P122" s="41"/>
      <c r="Q122" s="41"/>
      <c r="R122" s="46">
        <f ca="1">N122/SUM(N$121:N$123)</f>
        <v>0.39560439560439559</v>
      </c>
      <c r="T122" s="41" t="s">
        <v>60</v>
      </c>
      <c r="W122" s="40">
        <f ca="1">SUMIF(N20:N119,"&gt;0",X20:X119)/50</f>
        <v>9.2916666666666443E-3</v>
      </c>
      <c r="Z122">
        <f ca="1">MAX(Z20:Z119)</f>
        <v>3</v>
      </c>
    </row>
    <row r="123" spans="1:26" x14ac:dyDescent="0.3">
      <c r="L123" s="1" t="s">
        <v>63</v>
      </c>
      <c r="N123">
        <f ca="1">COUNTIF(N$20:N$119,3)</f>
        <v>27</v>
      </c>
      <c r="O123" s="45" t="s">
        <v>67</v>
      </c>
      <c r="P123" s="41"/>
      <c r="Q123" s="41"/>
      <c r="R123" s="46">
        <f ca="1">N123/SUM(N$121:N$123)</f>
        <v>0.2967032967032967</v>
      </c>
    </row>
  </sheetData>
  <mergeCells count="1">
    <mergeCell ref="A6:A8"/>
  </mergeCells>
  <phoneticPr fontId="6" type="noConversion"/>
  <conditionalFormatting sqref="N20:N119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7CFA-A6AC-44F9-9688-45E564751374}">
  <dimension ref="A1:AA102"/>
  <sheetViews>
    <sheetView tabSelected="1" topLeftCell="L85" zoomScale="83" zoomScaleNormal="145" workbookViewId="0">
      <selection activeCell="Z96" sqref="Z96"/>
    </sheetView>
  </sheetViews>
  <sheetFormatPr defaultRowHeight="14.4" x14ac:dyDescent="0.3"/>
  <cols>
    <col min="1" max="1" width="10.77734375" customWidth="1"/>
    <col min="2" max="2" width="16.21875" customWidth="1"/>
    <col min="3" max="3" width="18.44140625" customWidth="1"/>
    <col min="4" max="4" width="14.88671875" customWidth="1"/>
    <col min="5" max="5" width="15" customWidth="1"/>
    <col min="6" max="7" width="15.21875" customWidth="1"/>
    <col min="8" max="8" width="10.6640625" customWidth="1"/>
    <col min="9" max="9" width="16.109375" customWidth="1"/>
    <col min="12" max="12" width="14.5546875" customWidth="1"/>
    <col min="13" max="13" width="13.5546875" customWidth="1"/>
    <col min="14" max="14" width="9.33203125" customWidth="1"/>
    <col min="16" max="16" width="24" customWidth="1"/>
    <col min="18" max="18" width="23.88671875" customWidth="1"/>
    <col min="20" max="20" width="22.88671875" customWidth="1"/>
    <col min="22" max="22" width="22.77734375" customWidth="1"/>
    <col min="24" max="24" width="22.88671875" customWidth="1"/>
    <col min="26" max="26" width="23.44140625" customWidth="1"/>
  </cols>
  <sheetData>
    <row r="1" spans="1:9" x14ac:dyDescent="0.3">
      <c r="B1" s="47" t="s">
        <v>69</v>
      </c>
    </row>
    <row r="2" spans="1:9" x14ac:dyDescent="0.3">
      <c r="B2" s="1" t="s">
        <v>70</v>
      </c>
      <c r="C2">
        <v>0</v>
      </c>
    </row>
    <row r="3" spans="1:9" ht="57.6" x14ac:dyDescent="0.3">
      <c r="A3" s="48" t="s">
        <v>71</v>
      </c>
      <c r="B3" s="49" t="s">
        <v>72</v>
      </c>
      <c r="C3" s="50" t="s">
        <v>59</v>
      </c>
      <c r="D3" s="51" t="s">
        <v>73</v>
      </c>
      <c r="E3" s="52" t="s">
        <v>109</v>
      </c>
      <c r="F3" s="52" t="s">
        <v>110</v>
      </c>
      <c r="G3" s="52" t="s">
        <v>111</v>
      </c>
      <c r="H3" s="53" t="s">
        <v>74</v>
      </c>
      <c r="I3" s="54" t="s">
        <v>112</v>
      </c>
    </row>
    <row r="4" spans="1:9" x14ac:dyDescent="0.3">
      <c r="A4">
        <v>1</v>
      </c>
      <c r="B4" s="40">
        <f t="shared" ref="B4:B23" ca="1" si="0">IF(RUNC=A4, ALT, B4)</f>
        <v>8.4166666666666487E-3</v>
      </c>
      <c r="C4" s="40">
        <f t="shared" ref="C4:C23" ca="1" si="1">IF(RUNC=A4, AST, C4)</f>
        <v>4.2916666666666511E-3</v>
      </c>
      <c r="D4">
        <f t="shared" ref="D4:D23" ca="1" si="2">IF(RUNC=A4, NLC, D4)</f>
        <v>3</v>
      </c>
      <c r="E4" s="55">
        <f t="shared" ref="E4:E23" ca="1" si="3">IF(RUNC=A4, E1F, E4)</f>
        <v>0.4329896907216495</v>
      </c>
      <c r="F4" s="55">
        <f t="shared" ref="F4:F23" ca="1" si="4">IF(RUNC=A4, E2F, F4)</f>
        <v>0.34020618556701032</v>
      </c>
      <c r="G4" s="55">
        <f t="shared" ref="G4:G23" ca="1" si="5">IF(RUNC=A4, E3F, G4)</f>
        <v>0.22680412371134021</v>
      </c>
      <c r="H4">
        <f t="shared" ref="H4:H23" ca="1" si="6">IF(RUNC=A4, MXQ, H4)</f>
        <v>3</v>
      </c>
      <c r="I4" s="40">
        <f ca="1">IF(RUNC=A4,MAX(модель!$O$119:$T$119)-[0]!start,I4)</f>
        <v>0.14166666666666616</v>
      </c>
    </row>
    <row r="5" spans="1:9" x14ac:dyDescent="0.3">
      <c r="A5">
        <f>A4+1</f>
        <v>2</v>
      </c>
      <c r="B5" s="40">
        <f t="shared" ca="1" si="0"/>
        <v>8.652777777777761E-3</v>
      </c>
      <c r="C5" s="40">
        <f t="shared" ca="1" si="1"/>
        <v>4.4097222222222064E-3</v>
      </c>
      <c r="D5">
        <f t="shared" ca="1" si="2"/>
        <v>3</v>
      </c>
      <c r="E5" s="55">
        <f t="shared" ca="1" si="3"/>
        <v>0.32989690721649484</v>
      </c>
      <c r="F5" s="55">
        <f t="shared" ca="1" si="4"/>
        <v>0.39175257731958762</v>
      </c>
      <c r="G5" s="55">
        <f t="shared" ca="1" si="5"/>
        <v>0.27835051546391754</v>
      </c>
      <c r="H5">
        <f t="shared" ca="1" si="6"/>
        <v>4</v>
      </c>
      <c r="I5" s="40">
        <f ca="1">IF(RUNC=A5,MAX(модель!$O$119:$T$119)-[0]!start,I5)</f>
        <v>0.15694444444444389</v>
      </c>
    </row>
    <row r="6" spans="1:9" x14ac:dyDescent="0.3">
      <c r="A6">
        <f t="shared" ref="A6:A23" si="7">A5+1</f>
        <v>3</v>
      </c>
      <c r="B6" s="40">
        <f t="shared" ca="1" si="0"/>
        <v>8.0138888888888725E-3</v>
      </c>
      <c r="C6" s="40">
        <f t="shared" ca="1" si="1"/>
        <v>4.2013888888888743E-3</v>
      </c>
      <c r="D6">
        <f t="shared" ca="1" si="2"/>
        <v>7</v>
      </c>
      <c r="E6" s="55">
        <f t="shared" ca="1" si="3"/>
        <v>0.38709677419354838</v>
      </c>
      <c r="F6" s="55">
        <f t="shared" ca="1" si="4"/>
        <v>0.34408602150537637</v>
      </c>
      <c r="G6" s="55">
        <f t="shared" ca="1" si="5"/>
        <v>0.26881720430107525</v>
      </c>
      <c r="H6">
        <f t="shared" ca="1" si="6"/>
        <v>4</v>
      </c>
      <c r="I6" s="40">
        <f ca="1">IF(RUNC=A6,MAX(модель!$O$119:$T$119)-[0]!start,I6)</f>
        <v>0.13819444444444395</v>
      </c>
    </row>
    <row r="7" spans="1:9" x14ac:dyDescent="0.3">
      <c r="A7">
        <f t="shared" si="7"/>
        <v>4</v>
      </c>
      <c r="B7" s="40">
        <f t="shared" ca="1" si="0"/>
        <v>8.5555555555555385E-3</v>
      </c>
      <c r="C7" s="40">
        <f t="shared" ca="1" si="1"/>
        <v>4.361111111111096E-3</v>
      </c>
      <c r="D7">
        <f t="shared" ca="1" si="2"/>
        <v>3</v>
      </c>
      <c r="E7" s="55">
        <f t="shared" ca="1" si="3"/>
        <v>0.37113402061855671</v>
      </c>
      <c r="F7" s="55">
        <f t="shared" ca="1" si="4"/>
        <v>0.34020618556701032</v>
      </c>
      <c r="G7" s="55">
        <f t="shared" ca="1" si="5"/>
        <v>0.28865979381443296</v>
      </c>
      <c r="H7">
        <f t="shared" ca="1" si="6"/>
        <v>2</v>
      </c>
      <c r="I7" s="40">
        <f ca="1">IF(RUNC=A7,MAX(модель!$O$119:$T$119)-[0]!start,I7)</f>
        <v>0.14305555555555505</v>
      </c>
    </row>
    <row r="8" spans="1:9" x14ac:dyDescent="0.3">
      <c r="A8">
        <f t="shared" si="7"/>
        <v>5</v>
      </c>
      <c r="B8" s="40">
        <f t="shared" ca="1" si="0"/>
        <v>7.4722222222222091E-3</v>
      </c>
      <c r="C8" s="40">
        <f t="shared" ca="1" si="1"/>
        <v>3.7916666666666533E-3</v>
      </c>
      <c r="D8">
        <f t="shared" ca="1" si="2"/>
        <v>2</v>
      </c>
      <c r="E8" s="55">
        <f t="shared" ca="1" si="3"/>
        <v>0.38775510204081631</v>
      </c>
      <c r="F8" s="55">
        <f t="shared" ca="1" si="4"/>
        <v>0.37755102040816324</v>
      </c>
      <c r="G8" s="55">
        <f t="shared" ca="1" si="5"/>
        <v>0.23469387755102042</v>
      </c>
      <c r="H8">
        <f t="shared" ca="1" si="6"/>
        <v>2</v>
      </c>
      <c r="I8" s="40">
        <f ca="1">IF(RUNC=A8,MAX(модель!$O$119:$T$119)-[0]!start,I8)</f>
        <v>0.15138888888888835</v>
      </c>
    </row>
    <row r="9" spans="1:9" x14ac:dyDescent="0.3">
      <c r="A9">
        <f t="shared" si="7"/>
        <v>6</v>
      </c>
      <c r="B9" s="40">
        <f t="shared" ca="1" si="0"/>
        <v>8.5972222222222058E-3</v>
      </c>
      <c r="C9" s="40">
        <f t="shared" ca="1" si="1"/>
        <v>4.4930555555555392E-3</v>
      </c>
      <c r="D9">
        <f t="shared" ca="1" si="2"/>
        <v>7</v>
      </c>
      <c r="E9" s="55">
        <f t="shared" ca="1" si="3"/>
        <v>0.38709677419354838</v>
      </c>
      <c r="F9" s="55">
        <f t="shared" ca="1" si="4"/>
        <v>0.35483870967741937</v>
      </c>
      <c r="G9" s="55">
        <f t="shared" ca="1" si="5"/>
        <v>0.25806451612903225</v>
      </c>
      <c r="H9">
        <f t="shared" ca="1" si="6"/>
        <v>4</v>
      </c>
      <c r="I9" s="40">
        <f ca="1">IF(RUNC=A9,MAX(модель!$O$119:$T$119)-[0]!start,I9)</f>
        <v>0.15069444444444391</v>
      </c>
    </row>
    <row r="10" spans="1:9" x14ac:dyDescent="0.3">
      <c r="A10">
        <f t="shared" si="7"/>
        <v>7</v>
      </c>
      <c r="B10" s="40">
        <f t="shared" ca="1" si="0"/>
        <v>7.9444444444444276E-3</v>
      </c>
      <c r="C10" s="40">
        <f t="shared" ca="1" si="1"/>
        <v>4.1388888888888743E-3</v>
      </c>
      <c r="D10">
        <f t="shared" ca="1" si="2"/>
        <v>6</v>
      </c>
      <c r="E10" s="55">
        <f t="shared" ca="1" si="3"/>
        <v>0.38297872340425532</v>
      </c>
      <c r="F10" s="55">
        <f t="shared" ca="1" si="4"/>
        <v>0.34042553191489361</v>
      </c>
      <c r="G10" s="55">
        <f t="shared" ca="1" si="5"/>
        <v>0.27659574468085107</v>
      </c>
      <c r="H10">
        <f t="shared" ca="1" si="6"/>
        <v>4</v>
      </c>
      <c r="I10" s="40">
        <f ca="1">IF(RUNC=A10,MAX(модель!$O$119:$T$119)-[0]!start,I10)</f>
        <v>0.14166666666666616</v>
      </c>
    </row>
    <row r="11" spans="1:9" x14ac:dyDescent="0.3">
      <c r="A11">
        <f t="shared" si="7"/>
        <v>8</v>
      </c>
      <c r="B11" s="40">
        <f t="shared" ca="1" si="0"/>
        <v>7.7083333333333214E-3</v>
      </c>
      <c r="C11" s="40">
        <f t="shared" ca="1" si="1"/>
        <v>4.020833333333319E-3</v>
      </c>
      <c r="D11">
        <f t="shared" ca="1" si="2"/>
        <v>6</v>
      </c>
      <c r="E11" s="55">
        <f t="shared" ca="1" si="3"/>
        <v>0.40425531914893614</v>
      </c>
      <c r="F11" s="55">
        <f t="shared" ca="1" si="4"/>
        <v>0.34042553191489361</v>
      </c>
      <c r="G11" s="55">
        <f t="shared" ca="1" si="5"/>
        <v>0.25531914893617019</v>
      </c>
      <c r="H11">
        <f t="shared" ca="1" si="6"/>
        <v>3</v>
      </c>
      <c r="I11" s="40">
        <f ca="1">IF(RUNC=A11,MAX(модель!$O$119:$T$119)-[0]!start,I11)</f>
        <v>0.14374999999999949</v>
      </c>
    </row>
    <row r="12" spans="1:9" x14ac:dyDescent="0.3">
      <c r="A12">
        <f t="shared" si="7"/>
        <v>9</v>
      </c>
      <c r="B12" s="40">
        <f t="shared" ca="1" si="0"/>
        <v>9.1249999999999803E-3</v>
      </c>
      <c r="C12" s="40">
        <f t="shared" ca="1" si="1"/>
        <v>4.7291666666666498E-3</v>
      </c>
      <c r="D12">
        <f t="shared" ca="1" si="2"/>
        <v>6</v>
      </c>
      <c r="E12" s="55">
        <f t="shared" ca="1" si="3"/>
        <v>0.38297872340425532</v>
      </c>
      <c r="F12" s="55">
        <f t="shared" ca="1" si="4"/>
        <v>0.36170212765957449</v>
      </c>
      <c r="G12" s="55">
        <f t="shared" ca="1" si="5"/>
        <v>0.25531914893617019</v>
      </c>
      <c r="H12">
        <f t="shared" ca="1" si="6"/>
        <v>4</v>
      </c>
      <c r="I12" s="40">
        <f ca="1">IF(RUNC=A12,MAX(модель!$O$119:$T$119)-[0]!start,I12)</f>
        <v>0.14305555555555505</v>
      </c>
    </row>
    <row r="13" spans="1:9" x14ac:dyDescent="0.3">
      <c r="A13">
        <f t="shared" si="7"/>
        <v>10</v>
      </c>
      <c r="B13" s="40">
        <f t="shared" ca="1" si="0"/>
        <v>8.8888888888888698E-3</v>
      </c>
      <c r="C13" s="40">
        <f t="shared" ca="1" si="1"/>
        <v>4.6666666666666497E-3</v>
      </c>
      <c r="D13">
        <f t="shared" ca="1" si="2"/>
        <v>8</v>
      </c>
      <c r="E13" s="55">
        <f t="shared" ca="1" si="3"/>
        <v>0.31521739130434784</v>
      </c>
      <c r="F13" s="55">
        <f t="shared" ca="1" si="4"/>
        <v>0.29347826086956524</v>
      </c>
      <c r="G13" s="55">
        <f t="shared" ca="1" si="5"/>
        <v>0.39130434782608697</v>
      </c>
      <c r="H13">
        <f t="shared" ca="1" si="6"/>
        <v>3</v>
      </c>
      <c r="I13" s="40">
        <f ca="1">IF(RUNC=A13,MAX(модель!$O$119:$T$119)-[0]!start,I13)</f>
        <v>0.1340277777777773</v>
      </c>
    </row>
    <row r="14" spans="1:9" x14ac:dyDescent="0.3">
      <c r="A14">
        <f t="shared" si="7"/>
        <v>11</v>
      </c>
      <c r="B14" s="40">
        <f t="shared" ca="1" si="0"/>
        <v>9.3611111111110909E-3</v>
      </c>
      <c r="C14" s="40">
        <f t="shared" ca="1" si="1"/>
        <v>4.7916666666666498E-3</v>
      </c>
      <c r="D14">
        <f t="shared" ca="1" si="2"/>
        <v>4</v>
      </c>
      <c r="E14" s="55">
        <f t="shared" ca="1" si="3"/>
        <v>0.38541666666666669</v>
      </c>
      <c r="F14" s="55">
        <f t="shared" ca="1" si="4"/>
        <v>0.34375</v>
      </c>
      <c r="G14" s="55">
        <f t="shared" ca="1" si="5"/>
        <v>0.27083333333333331</v>
      </c>
      <c r="H14">
        <f t="shared" ca="1" si="6"/>
        <v>2</v>
      </c>
      <c r="I14" s="40">
        <f ca="1">IF(RUNC=A14,MAX(модель!$O$119:$T$119)-[0]!start,I14)</f>
        <v>0.155555555555555</v>
      </c>
    </row>
    <row r="15" spans="1:9" x14ac:dyDescent="0.3">
      <c r="A15">
        <f t="shared" si="7"/>
        <v>12</v>
      </c>
      <c r="B15" s="40">
        <f t="shared" ca="1" si="0"/>
        <v>9.9999999999999794E-3</v>
      </c>
      <c r="C15" s="40">
        <f t="shared" ca="1" si="1"/>
        <v>5.2499999999999812E-3</v>
      </c>
      <c r="D15">
        <f t="shared" ca="1" si="2"/>
        <v>9</v>
      </c>
      <c r="E15" s="55">
        <f t="shared" ca="1" si="3"/>
        <v>0.31868131868131866</v>
      </c>
      <c r="F15" s="55">
        <f t="shared" ca="1" si="4"/>
        <v>0.39560439560439559</v>
      </c>
      <c r="G15" s="55">
        <f t="shared" ca="1" si="5"/>
        <v>0.2857142857142857</v>
      </c>
      <c r="H15">
        <f t="shared" ca="1" si="6"/>
        <v>3</v>
      </c>
      <c r="I15" s="40">
        <f ca="1">IF(RUNC=A15,MAX(модель!$O$119:$T$119)-[0]!start,I15)</f>
        <v>0.14999999999999947</v>
      </c>
    </row>
    <row r="16" spans="1:9" x14ac:dyDescent="0.3">
      <c r="A16">
        <f t="shared" si="7"/>
        <v>13</v>
      </c>
      <c r="B16" s="40">
        <f t="shared" ca="1" si="0"/>
        <v>8.8611111111110922E-3</v>
      </c>
      <c r="C16" s="40">
        <f t="shared" ca="1" si="1"/>
        <v>4.6249999999999833E-3</v>
      </c>
      <c r="D16">
        <f t="shared" ca="1" si="2"/>
        <v>7</v>
      </c>
      <c r="E16" s="55">
        <f t="shared" ca="1" si="3"/>
        <v>0.32258064516129031</v>
      </c>
      <c r="F16" s="55">
        <f t="shared" ca="1" si="4"/>
        <v>0.38709677419354838</v>
      </c>
      <c r="G16" s="55">
        <f t="shared" ca="1" si="5"/>
        <v>0.29032258064516131</v>
      </c>
      <c r="H16">
        <f t="shared" ca="1" si="6"/>
        <v>3</v>
      </c>
      <c r="I16" s="40">
        <f ca="1">IF(RUNC=A16,MAX(модель!$O$119:$T$119)-[0]!start,I16)</f>
        <v>0.1472222222222217</v>
      </c>
    </row>
    <row r="17" spans="1:27" x14ac:dyDescent="0.3">
      <c r="A17">
        <f t="shared" si="7"/>
        <v>14</v>
      </c>
      <c r="B17" s="40">
        <f t="shared" ca="1" si="0"/>
        <v>8.2777777777777624E-3</v>
      </c>
      <c r="C17" s="40">
        <f t="shared" ca="1" si="1"/>
        <v>4.2222222222222071E-3</v>
      </c>
      <c r="D17">
        <f t="shared" ca="1" si="2"/>
        <v>3</v>
      </c>
      <c r="E17" s="55">
        <f t="shared" ca="1" si="3"/>
        <v>0.35051546391752575</v>
      </c>
      <c r="F17" s="55">
        <f t="shared" ca="1" si="4"/>
        <v>0.39175257731958762</v>
      </c>
      <c r="G17" s="55">
        <f t="shared" ca="1" si="5"/>
        <v>0.25773195876288657</v>
      </c>
      <c r="H17">
        <f t="shared" ca="1" si="6"/>
        <v>2</v>
      </c>
      <c r="I17" s="40">
        <f ca="1">IF(RUNC=A17,MAX(модель!$O$119:$T$119)-[0]!start,I17)</f>
        <v>0.1472222222222217</v>
      </c>
    </row>
    <row r="18" spans="1:27" x14ac:dyDescent="0.3">
      <c r="A18">
        <f t="shared" si="7"/>
        <v>15</v>
      </c>
      <c r="B18" s="40">
        <f t="shared" ca="1" si="0"/>
        <v>7.7222222222222093E-3</v>
      </c>
      <c r="C18" s="40">
        <f t="shared" ca="1" si="1"/>
        <v>3.9166666666666525E-3</v>
      </c>
      <c r="D18">
        <f t="shared" ca="1" si="2"/>
        <v>2</v>
      </c>
      <c r="E18" s="55">
        <f t="shared" ca="1" si="3"/>
        <v>0.35714285714285715</v>
      </c>
      <c r="F18" s="55">
        <f t="shared" ca="1" si="4"/>
        <v>0.35714285714285715</v>
      </c>
      <c r="G18" s="55">
        <f t="shared" ca="1" si="5"/>
        <v>0.2857142857142857</v>
      </c>
      <c r="H18">
        <f t="shared" ca="1" si="6"/>
        <v>1</v>
      </c>
      <c r="I18" s="40">
        <f ca="1">IF(RUNC=A18,MAX(модель!$O$119:$T$119)-[0]!start,I18)</f>
        <v>0.14999999999999947</v>
      </c>
    </row>
    <row r="19" spans="1:27" x14ac:dyDescent="0.3">
      <c r="A19">
        <f t="shared" si="7"/>
        <v>16</v>
      </c>
      <c r="B19" s="40">
        <f t="shared" ca="1" si="0"/>
        <v>8.791666666666649E-3</v>
      </c>
      <c r="C19" s="40">
        <f t="shared" ca="1" si="1"/>
        <v>4.6180555555555393E-3</v>
      </c>
      <c r="D19">
        <f t="shared" ca="1" si="2"/>
        <v>8</v>
      </c>
      <c r="E19" s="55">
        <f t="shared" ca="1" si="3"/>
        <v>0.38043478260869568</v>
      </c>
      <c r="F19" s="55">
        <f t="shared" ca="1" si="4"/>
        <v>0.35869565217391303</v>
      </c>
      <c r="G19" s="55">
        <f t="shared" ca="1" si="5"/>
        <v>0.2608695652173913</v>
      </c>
      <c r="H19">
        <f t="shared" ca="1" si="6"/>
        <v>5</v>
      </c>
      <c r="I19" s="40">
        <f ca="1">IF(RUNC=A19,MAX(модель!$O$119:$T$119)-[0]!start,I19)</f>
        <v>0.14027777777777728</v>
      </c>
    </row>
    <row r="20" spans="1:27" x14ac:dyDescent="0.3">
      <c r="A20">
        <f t="shared" si="7"/>
        <v>17</v>
      </c>
      <c r="B20" s="40">
        <f t="shared" ca="1" si="0"/>
        <v>8.6944444444444265E-3</v>
      </c>
      <c r="C20" s="40">
        <f t="shared" ca="1" si="1"/>
        <v>4.43055555555554E-3</v>
      </c>
      <c r="D20">
        <f t="shared" ca="1" si="2"/>
        <v>3</v>
      </c>
      <c r="E20" s="55">
        <f t="shared" ca="1" si="3"/>
        <v>0.31958762886597936</v>
      </c>
      <c r="F20" s="55">
        <f t="shared" ca="1" si="4"/>
        <v>0.35051546391752575</v>
      </c>
      <c r="G20" s="55">
        <f t="shared" ca="1" si="5"/>
        <v>0.32989690721649484</v>
      </c>
      <c r="H20">
        <f t="shared" ca="1" si="6"/>
        <v>2</v>
      </c>
      <c r="I20" s="40">
        <f ca="1">IF(RUNC=A20,MAX(модель!$O$119:$T$119)-[0]!start,I20)</f>
        <v>0.14444444444444393</v>
      </c>
    </row>
    <row r="21" spans="1:27" x14ac:dyDescent="0.3">
      <c r="A21">
        <f t="shared" si="7"/>
        <v>18</v>
      </c>
      <c r="B21" s="40">
        <f t="shared" ca="1" si="0"/>
        <v>9.4999999999999789E-3</v>
      </c>
      <c r="C21" s="40">
        <f t="shared" ca="1" si="1"/>
        <v>5.0277777777777595E-3</v>
      </c>
      <c r="D21">
        <f t="shared" ca="1" si="2"/>
        <v>10</v>
      </c>
      <c r="E21" s="55">
        <f t="shared" ca="1" si="3"/>
        <v>0.36666666666666664</v>
      </c>
      <c r="F21" s="55">
        <f t="shared" ca="1" si="4"/>
        <v>0.33333333333333331</v>
      </c>
      <c r="G21" s="55">
        <f t="shared" ca="1" si="5"/>
        <v>0.3</v>
      </c>
      <c r="H21">
        <f t="shared" ca="1" si="6"/>
        <v>3</v>
      </c>
      <c r="I21" s="40">
        <f ca="1">IF(RUNC=A21,MAX(модель!$O$119:$T$119)-[0]!start,I21)</f>
        <v>0.14166666666666616</v>
      </c>
    </row>
    <row r="22" spans="1:27" x14ac:dyDescent="0.3">
      <c r="A22">
        <f t="shared" si="7"/>
        <v>19</v>
      </c>
      <c r="B22" s="40">
        <f t="shared" ca="1" si="0"/>
        <v>7.4999999999999867E-3</v>
      </c>
      <c r="C22" s="40">
        <f t="shared" ca="1" si="1"/>
        <v>3.8611111111110973E-3</v>
      </c>
      <c r="D22">
        <f t="shared" ca="1" si="2"/>
        <v>4</v>
      </c>
      <c r="E22" s="55">
        <f t="shared" ca="1" si="3"/>
        <v>0.42708333333333331</v>
      </c>
      <c r="F22" s="55">
        <f t="shared" ca="1" si="4"/>
        <v>0.30208333333333331</v>
      </c>
      <c r="G22" s="55">
        <f t="shared" ca="1" si="5"/>
        <v>0.27083333333333331</v>
      </c>
      <c r="H22">
        <f t="shared" ca="1" si="6"/>
        <v>3</v>
      </c>
      <c r="I22" s="40">
        <f ca="1">IF(RUNC=A22,MAX(модель!$O$119:$T$119)-[0]!start,I22)</f>
        <v>0.14305555555555505</v>
      </c>
    </row>
    <row r="23" spans="1:27" x14ac:dyDescent="0.3">
      <c r="A23">
        <f t="shared" si="7"/>
        <v>20</v>
      </c>
      <c r="B23" s="40">
        <f t="shared" ca="1" si="0"/>
        <v>8.0972222222222071E-3</v>
      </c>
      <c r="C23" s="40">
        <f t="shared" ca="1" si="1"/>
        <v>4.2986111111110959E-3</v>
      </c>
      <c r="D23">
        <f t="shared" ca="1" si="2"/>
        <v>9</v>
      </c>
      <c r="E23" s="55">
        <f t="shared" ca="1" si="3"/>
        <v>0.38461538461538464</v>
      </c>
      <c r="F23" s="55">
        <f t="shared" ca="1" si="4"/>
        <v>0.31868131868131866</v>
      </c>
      <c r="G23" s="55">
        <f t="shared" ca="1" si="5"/>
        <v>0.2967032967032967</v>
      </c>
      <c r="H23">
        <f t="shared" ca="1" si="6"/>
        <v>4</v>
      </c>
      <c r="I23" s="40">
        <f ca="1">IF(RUNC=A23,MAX(модель!$O$119:$T$119)-[0]!start,I23)</f>
        <v>0.14166666666666616</v>
      </c>
    </row>
    <row r="26" spans="1:27" ht="15" thickBot="1" x14ac:dyDescent="0.35">
      <c r="B26" t="s">
        <v>77</v>
      </c>
    </row>
    <row r="27" spans="1:27" ht="81" customHeight="1" x14ac:dyDescent="0.3">
      <c r="A27" s="48" t="s">
        <v>76</v>
      </c>
      <c r="B27" s="49" t="s">
        <v>72</v>
      </c>
      <c r="C27" s="50" t="s">
        <v>59</v>
      </c>
      <c r="D27" s="51" t="s">
        <v>73</v>
      </c>
      <c r="E27" s="52" t="s">
        <v>109</v>
      </c>
      <c r="F27" s="52" t="s">
        <v>110</v>
      </c>
      <c r="G27" s="52" t="s">
        <v>111</v>
      </c>
      <c r="H27" s="53" t="s">
        <v>74</v>
      </c>
      <c r="I27" s="54" t="s">
        <v>112</v>
      </c>
      <c r="P27" s="62" t="s">
        <v>96</v>
      </c>
      <c r="Q27" s="61"/>
      <c r="R27" s="62" t="s">
        <v>97</v>
      </c>
      <c r="S27" s="61"/>
      <c r="T27" s="62" t="s">
        <v>98</v>
      </c>
      <c r="U27" s="61"/>
      <c r="V27" s="62" t="s">
        <v>99</v>
      </c>
      <c r="W27" s="61"/>
      <c r="X27" s="62" t="s">
        <v>100</v>
      </c>
      <c r="Y27" s="61"/>
      <c r="Z27" s="62" t="s">
        <v>101</v>
      </c>
      <c r="AA27" s="61"/>
    </row>
    <row r="28" spans="1:27" x14ac:dyDescent="0.3">
      <c r="A28">
        <v>1</v>
      </c>
      <c r="B28" s="40">
        <v>7.5138888888888764E-3</v>
      </c>
      <c r="C28" s="40">
        <v>3.8819444444444305E-3</v>
      </c>
      <c r="D28">
        <v>6</v>
      </c>
      <c r="E28" s="55">
        <v>0.40425531914893614</v>
      </c>
      <c r="F28" s="55">
        <v>0.35106382978723405</v>
      </c>
      <c r="G28" s="55">
        <v>0.24468085106382978</v>
      </c>
      <c r="H28">
        <v>2</v>
      </c>
      <c r="I28" s="40">
        <v>0.15486111111111056</v>
      </c>
      <c r="L28" s="1" t="s">
        <v>80</v>
      </c>
      <c r="M28" s="1" t="s">
        <v>81</v>
      </c>
      <c r="N28" s="1" t="s">
        <v>82</v>
      </c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4"/>
      <c r="AA28" s="59"/>
    </row>
    <row r="29" spans="1:27" ht="15" thickBot="1" x14ac:dyDescent="0.35">
      <c r="A29">
        <v>2</v>
      </c>
      <c r="B29" s="40">
        <v>9.13888888888887E-3</v>
      </c>
      <c r="C29" s="40">
        <v>4.6527777777777609E-3</v>
      </c>
      <c r="D29">
        <v>4</v>
      </c>
      <c r="E29" s="55">
        <v>0.35416666666666669</v>
      </c>
      <c r="F29" s="55">
        <v>0.33333333333333331</v>
      </c>
      <c r="G29" s="55">
        <v>0.3125</v>
      </c>
      <c r="H29">
        <v>2</v>
      </c>
      <c r="I29" s="40">
        <v>0.155555555555555</v>
      </c>
      <c r="L29" s="56">
        <v>0.375</v>
      </c>
      <c r="M29" s="56">
        <v>0.75</v>
      </c>
      <c r="N29">
        <v>3</v>
      </c>
      <c r="P29" s="63" t="s">
        <v>83</v>
      </c>
      <c r="Q29" s="63">
        <v>8.229166666666652E-3</v>
      </c>
      <c r="R29" s="63" t="s">
        <v>83</v>
      </c>
      <c r="S29" s="63">
        <v>4.2885416666666506E-3</v>
      </c>
      <c r="T29" s="59" t="s">
        <v>83</v>
      </c>
      <c r="U29" s="59">
        <v>0.35812395484943826</v>
      </c>
      <c r="V29" s="59" t="s">
        <v>83</v>
      </c>
      <c r="W29" s="59">
        <v>0.34253150500562329</v>
      </c>
      <c r="X29" s="59" t="s">
        <v>83</v>
      </c>
      <c r="Y29" s="59">
        <v>0.29934454014493844</v>
      </c>
      <c r="Z29" s="59" t="s">
        <v>83</v>
      </c>
      <c r="AA29" s="59">
        <v>8.35</v>
      </c>
    </row>
    <row r="30" spans="1:27" x14ac:dyDescent="0.3">
      <c r="A30">
        <v>3</v>
      </c>
      <c r="B30" s="40">
        <v>7.8611111111110982E-3</v>
      </c>
      <c r="C30" s="40">
        <v>4.3472222222222072E-3</v>
      </c>
      <c r="D30">
        <v>20</v>
      </c>
      <c r="E30" s="55">
        <v>0.33750000000000002</v>
      </c>
      <c r="F30" s="55">
        <v>0.36249999999999999</v>
      </c>
      <c r="G30" s="55">
        <v>0.3</v>
      </c>
      <c r="H30">
        <v>5</v>
      </c>
      <c r="I30" s="40">
        <v>0.13333333333333286</v>
      </c>
      <c r="K30" s="1" t="s">
        <v>78</v>
      </c>
      <c r="L30" s="57" t="s">
        <v>6</v>
      </c>
      <c r="M30" s="13" t="s">
        <v>10</v>
      </c>
      <c r="N30" s="14" t="s">
        <v>7</v>
      </c>
      <c r="P30" s="63" t="s">
        <v>84</v>
      </c>
      <c r="Q30" s="63">
        <v>1.0015166779791026E-4</v>
      </c>
      <c r="R30" s="63" t="s">
        <v>84</v>
      </c>
      <c r="S30" s="63">
        <v>5.3872709917572145E-5</v>
      </c>
      <c r="T30" s="59" t="s">
        <v>84</v>
      </c>
      <c r="U30" s="59">
        <v>6.4327487845902394E-3</v>
      </c>
      <c r="V30" s="59" t="s">
        <v>84</v>
      </c>
      <c r="W30" s="59">
        <v>6.2137056881204139E-3</v>
      </c>
      <c r="X30" s="59" t="s">
        <v>84</v>
      </c>
      <c r="Y30" s="59">
        <v>6.5927414487724264E-3</v>
      </c>
      <c r="Z30" s="59" t="s">
        <v>84</v>
      </c>
      <c r="AA30" s="59">
        <v>0.84378533064430916</v>
      </c>
    </row>
    <row r="31" spans="1:27" x14ac:dyDescent="0.3">
      <c r="A31">
        <v>4</v>
      </c>
      <c r="B31" s="40">
        <v>8.0833333333333174E-3</v>
      </c>
      <c r="C31" s="40">
        <v>4.1666666666666519E-3</v>
      </c>
      <c r="D31">
        <v>6</v>
      </c>
      <c r="E31" s="55">
        <v>0.38297872340425532</v>
      </c>
      <c r="F31" s="55">
        <v>0.31914893617021278</v>
      </c>
      <c r="G31" s="55">
        <v>0.2978723404255319</v>
      </c>
      <c r="H31">
        <v>2</v>
      </c>
      <c r="I31" s="40">
        <v>0.15763888888888833</v>
      </c>
      <c r="L31" s="58" t="s">
        <v>11</v>
      </c>
      <c r="M31" s="11" t="s">
        <v>11</v>
      </c>
      <c r="N31" s="12" t="s">
        <v>8</v>
      </c>
      <c r="P31" s="63" t="s">
        <v>85</v>
      </c>
      <c r="Q31" s="63">
        <v>8.2430555555555399E-3</v>
      </c>
      <c r="R31" s="63" t="s">
        <v>85</v>
      </c>
      <c r="S31" s="63">
        <v>4.3298611111110951E-3</v>
      </c>
      <c r="T31" s="59" t="s">
        <v>85</v>
      </c>
      <c r="U31" s="59">
        <v>0.36109396221755774</v>
      </c>
      <c r="V31" s="59" t="s">
        <v>85</v>
      </c>
      <c r="W31" s="59">
        <v>0.34232954545454541</v>
      </c>
      <c r="X31" s="59" t="s">
        <v>85</v>
      </c>
      <c r="Y31" s="59">
        <v>0.30053763440860215</v>
      </c>
      <c r="Z31" s="59" t="s">
        <v>85</v>
      </c>
      <c r="AA31" s="59">
        <v>8</v>
      </c>
    </row>
    <row r="32" spans="1:27" ht="15" thickBot="1" x14ac:dyDescent="0.35">
      <c r="A32">
        <v>5</v>
      </c>
      <c r="B32" s="40">
        <v>8.6944444444444283E-3</v>
      </c>
      <c r="C32" s="40">
        <v>4.5138888888888729E-3</v>
      </c>
      <c r="D32">
        <v>8</v>
      </c>
      <c r="E32" s="55">
        <v>0.36956521739130432</v>
      </c>
      <c r="F32" s="55">
        <v>0.31521739130434784</v>
      </c>
      <c r="G32" s="55">
        <v>0.31521739130434784</v>
      </c>
      <c r="H32">
        <v>2</v>
      </c>
      <c r="I32" s="40">
        <v>0.15208333333333279</v>
      </c>
      <c r="L32" s="58"/>
      <c r="M32" s="11"/>
      <c r="N32" s="12" t="s">
        <v>9</v>
      </c>
      <c r="P32" s="63" t="s">
        <v>86</v>
      </c>
      <c r="Q32" s="63" t="e">
        <v>#N/A</v>
      </c>
      <c r="R32" s="63" t="s">
        <v>86</v>
      </c>
      <c r="S32" s="63">
        <v>4.3333333333333175E-3</v>
      </c>
      <c r="T32" s="59" t="s">
        <v>86</v>
      </c>
      <c r="U32" s="59">
        <v>0.36263736263736263</v>
      </c>
      <c r="V32" s="59" t="s">
        <v>86</v>
      </c>
      <c r="W32" s="59">
        <v>0.33333333333333331</v>
      </c>
      <c r="X32" s="59" t="s">
        <v>86</v>
      </c>
      <c r="Y32" s="59" t="e">
        <v>#N/A</v>
      </c>
      <c r="Z32" s="59" t="s">
        <v>86</v>
      </c>
      <c r="AA32" s="59">
        <v>6</v>
      </c>
    </row>
    <row r="33" spans="1:27" x14ac:dyDescent="0.3">
      <c r="A33">
        <v>6</v>
      </c>
      <c r="B33" s="40">
        <v>7.9166666666666535E-3</v>
      </c>
      <c r="C33" s="40">
        <v>4.1458333333333182E-3</v>
      </c>
      <c r="D33">
        <v>9</v>
      </c>
      <c r="E33" s="55">
        <v>0.36263736263736263</v>
      </c>
      <c r="F33" s="55">
        <v>0.37362637362637363</v>
      </c>
      <c r="G33" s="55">
        <v>0.26373626373626374</v>
      </c>
      <c r="H33">
        <v>4</v>
      </c>
      <c r="I33" s="40">
        <v>0.14027777777777728</v>
      </c>
      <c r="L33" s="15">
        <v>0</v>
      </c>
      <c r="M33" s="16">
        <v>0.15</v>
      </c>
      <c r="N33" s="17">
        <v>1</v>
      </c>
      <c r="P33" s="63" t="s">
        <v>87</v>
      </c>
      <c r="Q33" s="63">
        <v>4.4789187451220805E-4</v>
      </c>
      <c r="R33" s="63" t="s">
        <v>87</v>
      </c>
      <c r="S33" s="63">
        <v>2.4092608301563682E-4</v>
      </c>
      <c r="T33" s="59" t="s">
        <v>87</v>
      </c>
      <c r="U33" s="59">
        <v>2.8768127129045855E-2</v>
      </c>
      <c r="V33" s="59" t="s">
        <v>87</v>
      </c>
      <c r="W33" s="59">
        <v>2.7788536621628706E-2</v>
      </c>
      <c r="X33" s="59" t="s">
        <v>87</v>
      </c>
      <c r="Y33" s="59">
        <v>2.9483636075071186E-2</v>
      </c>
      <c r="Z33" s="59" t="s">
        <v>87</v>
      </c>
      <c r="AA33" s="59">
        <v>3.7735227154756235</v>
      </c>
    </row>
    <row r="34" spans="1:27" x14ac:dyDescent="0.3">
      <c r="A34">
        <v>7</v>
      </c>
      <c r="B34" s="40">
        <v>7.1388888888888769E-3</v>
      </c>
      <c r="C34" s="40">
        <v>3.6319444444444316E-3</v>
      </c>
      <c r="D34">
        <v>3</v>
      </c>
      <c r="E34" s="55">
        <v>0.31958762886597936</v>
      </c>
      <c r="F34" s="55">
        <v>0.39175257731958762</v>
      </c>
      <c r="G34" s="55">
        <v>0.28865979381443296</v>
      </c>
      <c r="H34">
        <v>2</v>
      </c>
      <c r="I34" s="40">
        <v>0.14861111111111058</v>
      </c>
      <c r="L34" s="18">
        <v>0.15</v>
      </c>
      <c r="M34" s="19">
        <v>0.4</v>
      </c>
      <c r="N34" s="20">
        <v>3</v>
      </c>
      <c r="P34" s="59" t="s">
        <v>88</v>
      </c>
      <c r="Q34" s="59">
        <v>2.0060713125405953E-7</v>
      </c>
      <c r="R34" s="59" t="s">
        <v>88</v>
      </c>
      <c r="S34" s="59">
        <v>5.8045377477257524E-8</v>
      </c>
      <c r="T34" s="59" t="s">
        <v>88</v>
      </c>
      <c r="U34" s="59">
        <v>8.2760513851294409E-4</v>
      </c>
      <c r="V34" s="59" t="s">
        <v>88</v>
      </c>
      <c r="W34" s="59">
        <v>7.7220276757159975E-4</v>
      </c>
      <c r="X34" s="59" t="s">
        <v>88</v>
      </c>
      <c r="Y34" s="59">
        <v>8.6928479620723904E-4</v>
      </c>
      <c r="Z34" s="59" t="s">
        <v>88</v>
      </c>
      <c r="AA34" s="59">
        <v>14.239473684210523</v>
      </c>
    </row>
    <row r="35" spans="1:27" x14ac:dyDescent="0.3">
      <c r="A35">
        <v>8</v>
      </c>
      <c r="B35" s="40">
        <v>8.7083333333333162E-3</v>
      </c>
      <c r="C35" s="40">
        <v>4.6041666666666505E-3</v>
      </c>
      <c r="D35">
        <v>12</v>
      </c>
      <c r="E35" s="55">
        <v>0.36363636363636365</v>
      </c>
      <c r="F35" s="55">
        <v>0.27272727272727271</v>
      </c>
      <c r="G35" s="55">
        <v>0.36363636363636365</v>
      </c>
      <c r="H35">
        <v>3</v>
      </c>
      <c r="I35" s="40">
        <v>0.14305555555555505</v>
      </c>
      <c r="L35" s="18">
        <v>0.4</v>
      </c>
      <c r="M35" s="19">
        <v>0.65</v>
      </c>
      <c r="N35" s="20">
        <v>5</v>
      </c>
      <c r="P35" s="59" t="s">
        <v>89</v>
      </c>
      <c r="Q35" s="59">
        <v>1.0453746604598191</v>
      </c>
      <c r="R35" s="59" t="s">
        <v>89</v>
      </c>
      <c r="S35" s="59">
        <v>1.8215694704347341</v>
      </c>
      <c r="T35" s="59" t="s">
        <v>89</v>
      </c>
      <c r="U35" s="59">
        <v>0.39063888864006113</v>
      </c>
      <c r="V35" s="59" t="s">
        <v>89</v>
      </c>
      <c r="W35" s="59">
        <v>0.81269929241898708</v>
      </c>
      <c r="X35" s="59" t="s">
        <v>89</v>
      </c>
      <c r="Y35" s="59">
        <v>0.73019699631893076</v>
      </c>
      <c r="Z35" s="59" t="s">
        <v>89</v>
      </c>
      <c r="AA35" s="59">
        <v>3.7783178888454305</v>
      </c>
    </row>
    <row r="36" spans="1:27" ht="15" thickBot="1" x14ac:dyDescent="0.35">
      <c r="A36">
        <v>9</v>
      </c>
      <c r="B36" s="40">
        <v>8.2916666666666521E-3</v>
      </c>
      <c r="C36" s="40">
        <v>4.3333333333333175E-3</v>
      </c>
      <c r="D36">
        <v>9</v>
      </c>
      <c r="E36" s="55">
        <v>0.36263736263736263</v>
      </c>
      <c r="F36" s="55">
        <v>0.31868131868131866</v>
      </c>
      <c r="G36" s="55">
        <v>0.31868131868131866</v>
      </c>
      <c r="H36">
        <v>3</v>
      </c>
      <c r="I36" s="40">
        <v>0.13958333333333284</v>
      </c>
      <c r="L36" s="21">
        <v>0.65</v>
      </c>
      <c r="M36" s="22">
        <v>1</v>
      </c>
      <c r="N36" s="23">
        <v>10</v>
      </c>
      <c r="P36" s="59" t="s">
        <v>90</v>
      </c>
      <c r="Q36" s="59">
        <v>-0.4235611823535288</v>
      </c>
      <c r="R36" s="59" t="s">
        <v>90</v>
      </c>
      <c r="S36" s="59">
        <v>-1.0869975714405939</v>
      </c>
      <c r="T36" s="59" t="s">
        <v>90</v>
      </c>
      <c r="U36" s="59">
        <v>-3.5393994731179768E-2</v>
      </c>
      <c r="V36" s="59" t="s">
        <v>90</v>
      </c>
      <c r="W36" s="59">
        <v>-0.59899089732559341</v>
      </c>
      <c r="X36" s="59" t="s">
        <v>90</v>
      </c>
      <c r="Y36" s="59">
        <v>-0.11935486324349177</v>
      </c>
      <c r="Z36" s="59" t="s">
        <v>90</v>
      </c>
      <c r="AA36" s="59">
        <v>1.46061761557631</v>
      </c>
    </row>
    <row r="37" spans="1:27" ht="15" thickBot="1" x14ac:dyDescent="0.35">
      <c r="A37">
        <v>10</v>
      </c>
      <c r="B37" s="40">
        <v>8.1944444444444296E-3</v>
      </c>
      <c r="C37" s="40">
        <v>4.3263888888888736E-3</v>
      </c>
      <c r="D37">
        <v>11</v>
      </c>
      <c r="E37" s="55">
        <v>0.34831460674157305</v>
      </c>
      <c r="F37" s="55">
        <v>0.3595505617977528</v>
      </c>
      <c r="G37" s="55">
        <v>0.29213483146067415</v>
      </c>
      <c r="H37">
        <v>3</v>
      </c>
      <c r="I37" s="40">
        <v>0.13958333333333284</v>
      </c>
      <c r="P37" s="59" t="s">
        <v>91</v>
      </c>
      <c r="Q37" s="63">
        <v>1.9999999999999931E-3</v>
      </c>
      <c r="R37" s="63" t="s">
        <v>91</v>
      </c>
      <c r="S37" s="63">
        <v>1.0208333333333293E-3</v>
      </c>
      <c r="T37" s="59" t="s">
        <v>91</v>
      </c>
      <c r="U37" s="59">
        <v>0.11996336996336998</v>
      </c>
      <c r="V37" s="59" t="s">
        <v>91</v>
      </c>
      <c r="W37" s="59">
        <v>0.11902530459231492</v>
      </c>
      <c r="X37" s="59" t="s">
        <v>91</v>
      </c>
      <c r="Y37" s="59">
        <v>0.1240530303030303</v>
      </c>
      <c r="Z37" s="59" t="s">
        <v>91</v>
      </c>
      <c r="AA37" s="59">
        <v>17</v>
      </c>
    </row>
    <row r="38" spans="1:27" ht="15.6" customHeight="1" x14ac:dyDescent="0.3">
      <c r="A38">
        <v>11</v>
      </c>
      <c r="B38" s="40">
        <v>8.6111111111110937E-3</v>
      </c>
      <c r="C38" s="40">
        <v>4.4930555555555392E-3</v>
      </c>
      <c r="D38">
        <v>9</v>
      </c>
      <c r="E38" s="55">
        <v>0.2967032967032967</v>
      </c>
      <c r="F38" s="55">
        <v>0.37362637362637363</v>
      </c>
      <c r="G38" s="55">
        <v>0.32967032967032966</v>
      </c>
      <c r="H38">
        <v>4</v>
      </c>
      <c r="I38" s="40">
        <v>0.14305555555555505</v>
      </c>
      <c r="K38" s="1" t="s">
        <v>79</v>
      </c>
      <c r="L38" s="57" t="s">
        <v>6</v>
      </c>
      <c r="M38" s="13" t="s">
        <v>10</v>
      </c>
      <c r="N38" s="14" t="s">
        <v>26</v>
      </c>
      <c r="P38" s="59" t="s">
        <v>92</v>
      </c>
      <c r="Q38" s="63">
        <v>7.1388888888888769E-3</v>
      </c>
      <c r="R38" s="63" t="s">
        <v>92</v>
      </c>
      <c r="S38" s="63">
        <v>3.6319444444444316E-3</v>
      </c>
      <c r="T38" s="59" t="s">
        <v>92</v>
      </c>
      <c r="U38" s="59">
        <v>0.2967032967032967</v>
      </c>
      <c r="V38" s="59" t="s">
        <v>92</v>
      </c>
      <c r="W38" s="59">
        <v>0.27272727272727271</v>
      </c>
      <c r="X38" s="59" t="s">
        <v>92</v>
      </c>
      <c r="Y38" s="59">
        <v>0.23958333333333334</v>
      </c>
      <c r="Z38" s="59" t="s">
        <v>92</v>
      </c>
      <c r="AA38" s="59">
        <v>3</v>
      </c>
    </row>
    <row r="39" spans="1:27" x14ac:dyDescent="0.3">
      <c r="A39">
        <v>12</v>
      </c>
      <c r="B39" s="40">
        <v>8.0833333333333191E-3</v>
      </c>
      <c r="C39" s="40">
        <v>4.2916666666666511E-3</v>
      </c>
      <c r="D39">
        <v>12</v>
      </c>
      <c r="E39" s="55">
        <v>0.31818181818181818</v>
      </c>
      <c r="F39" s="55">
        <v>0.34090909090909088</v>
      </c>
      <c r="G39" s="55">
        <v>0.34090909090909088</v>
      </c>
      <c r="H39">
        <v>3</v>
      </c>
      <c r="I39" s="40">
        <v>0.13472222222222174</v>
      </c>
      <c r="L39" s="58" t="s">
        <v>11</v>
      </c>
      <c r="M39" s="11" t="s">
        <v>11</v>
      </c>
      <c r="N39" s="12" t="s">
        <v>8</v>
      </c>
      <c r="P39" s="59" t="s">
        <v>93</v>
      </c>
      <c r="Q39" s="63">
        <v>9.13888888888887E-3</v>
      </c>
      <c r="R39" s="63" t="s">
        <v>93</v>
      </c>
      <c r="S39" s="63">
        <v>4.6527777777777609E-3</v>
      </c>
      <c r="T39" s="59" t="s">
        <v>93</v>
      </c>
      <c r="U39" s="59">
        <v>0.41666666666666669</v>
      </c>
      <c r="V39" s="59" t="s">
        <v>93</v>
      </c>
      <c r="W39" s="59">
        <v>0.39175257731958762</v>
      </c>
      <c r="X39" s="59" t="s">
        <v>93</v>
      </c>
      <c r="Y39" s="59">
        <v>0.36363636363636365</v>
      </c>
      <c r="Z39" s="59" t="s">
        <v>93</v>
      </c>
      <c r="AA39" s="59">
        <v>20</v>
      </c>
    </row>
    <row r="40" spans="1:27" ht="15" thickBot="1" x14ac:dyDescent="0.35">
      <c r="A40">
        <v>13</v>
      </c>
      <c r="B40" s="40">
        <v>8.1527777777777623E-3</v>
      </c>
      <c r="C40" s="40">
        <v>4.2222222222222071E-3</v>
      </c>
      <c r="D40">
        <v>7</v>
      </c>
      <c r="E40" s="55">
        <v>0.36559139784946237</v>
      </c>
      <c r="F40" s="55">
        <v>0.33333333333333331</v>
      </c>
      <c r="G40" s="55">
        <v>0.30107526881720431</v>
      </c>
      <c r="H40">
        <v>2</v>
      </c>
      <c r="I40" s="40">
        <v>0.14236111111111061</v>
      </c>
      <c r="L40" s="58"/>
      <c r="M40" s="11"/>
      <c r="N40" s="12" t="s">
        <v>9</v>
      </c>
      <c r="P40" s="59" t="s">
        <v>94</v>
      </c>
      <c r="Q40" s="63">
        <v>0.16458333333333303</v>
      </c>
      <c r="R40" s="63" t="s">
        <v>94</v>
      </c>
      <c r="S40" s="63">
        <v>8.5770833333333019E-2</v>
      </c>
      <c r="T40" s="59" t="s">
        <v>94</v>
      </c>
      <c r="U40" s="59">
        <v>7.1624790969887648</v>
      </c>
      <c r="V40" s="59" t="s">
        <v>94</v>
      </c>
      <c r="W40" s="59">
        <v>6.8506301001124656</v>
      </c>
      <c r="X40" s="59" t="s">
        <v>94</v>
      </c>
      <c r="Y40" s="59">
        <v>5.9868908028987686</v>
      </c>
      <c r="Z40" s="59" t="s">
        <v>94</v>
      </c>
      <c r="AA40" s="59">
        <v>167</v>
      </c>
    </row>
    <row r="41" spans="1:27" ht="15" thickBot="1" x14ac:dyDescent="0.35">
      <c r="A41">
        <v>14</v>
      </c>
      <c r="B41" s="40">
        <v>8.5416666666666488E-3</v>
      </c>
      <c r="C41" s="40">
        <v>4.437499999999984E-3</v>
      </c>
      <c r="D41">
        <v>8</v>
      </c>
      <c r="E41" s="55">
        <v>0.39130434782608697</v>
      </c>
      <c r="F41" s="55">
        <v>0.30434782608695654</v>
      </c>
      <c r="G41" s="55">
        <v>0.30434782608695654</v>
      </c>
      <c r="H41">
        <v>4</v>
      </c>
      <c r="I41" s="40">
        <v>0.15208333333333279</v>
      </c>
      <c r="L41" s="15">
        <v>0</v>
      </c>
      <c r="M41" s="16">
        <v>0.3</v>
      </c>
      <c r="N41" s="17">
        <v>3</v>
      </c>
      <c r="P41" s="60" t="s">
        <v>95</v>
      </c>
      <c r="Q41" s="60">
        <v>20</v>
      </c>
      <c r="R41" s="60" t="s">
        <v>95</v>
      </c>
      <c r="S41" s="60">
        <v>20</v>
      </c>
      <c r="T41" s="60" t="s">
        <v>95</v>
      </c>
      <c r="U41" s="60">
        <v>20</v>
      </c>
      <c r="V41" s="60" t="s">
        <v>95</v>
      </c>
      <c r="W41" s="60">
        <v>20</v>
      </c>
      <c r="X41" s="60" t="s">
        <v>95</v>
      </c>
      <c r="Y41" s="60">
        <v>20</v>
      </c>
      <c r="Z41" s="59" t="s">
        <v>95</v>
      </c>
      <c r="AA41" s="59">
        <v>20</v>
      </c>
    </row>
    <row r="42" spans="1:27" x14ac:dyDescent="0.3">
      <c r="A42">
        <v>15</v>
      </c>
      <c r="B42" s="40">
        <v>8.3333333333333211E-3</v>
      </c>
      <c r="C42" s="40">
        <v>4.3124999999999847E-3</v>
      </c>
      <c r="D42">
        <v>7</v>
      </c>
      <c r="E42" s="55">
        <v>0.34408602150537637</v>
      </c>
      <c r="F42" s="55">
        <v>0.34408602150537637</v>
      </c>
      <c r="G42" s="55">
        <v>0.31182795698924731</v>
      </c>
      <c r="H42">
        <v>3</v>
      </c>
      <c r="I42" s="40">
        <v>0.15138888888888835</v>
      </c>
      <c r="L42" s="18">
        <v>0.3</v>
      </c>
      <c r="M42" s="19">
        <v>0.64</v>
      </c>
      <c r="N42" s="20">
        <v>7</v>
      </c>
      <c r="Q42">
        <v>0</v>
      </c>
      <c r="S42">
        <v>0</v>
      </c>
      <c r="U42">
        <v>0</v>
      </c>
      <c r="W42">
        <v>0</v>
      </c>
      <c r="Y42">
        <v>0</v>
      </c>
      <c r="Z42" s="59" t="s">
        <v>102</v>
      </c>
      <c r="AA42" s="59">
        <v>12</v>
      </c>
    </row>
    <row r="43" spans="1:27" ht="15" thickBot="1" x14ac:dyDescent="0.35">
      <c r="A43">
        <v>16</v>
      </c>
      <c r="B43" s="40">
        <v>8.6388888888888713E-3</v>
      </c>
      <c r="C43" s="40">
        <v>4.4444444444444288E-3</v>
      </c>
      <c r="D43">
        <v>6</v>
      </c>
      <c r="E43" s="55">
        <v>0.34042553191489361</v>
      </c>
      <c r="F43" s="55">
        <v>0.37234042553191488</v>
      </c>
      <c r="G43" s="55">
        <v>0.28723404255319152</v>
      </c>
      <c r="H43">
        <v>3</v>
      </c>
      <c r="I43" s="40">
        <v>0.14097222222222172</v>
      </c>
      <c r="L43" s="21">
        <v>0.65</v>
      </c>
      <c r="M43" s="22">
        <v>1</v>
      </c>
      <c r="N43" s="23">
        <v>8</v>
      </c>
      <c r="Z43" s="60" t="s">
        <v>103</v>
      </c>
      <c r="AA43" s="60">
        <v>4</v>
      </c>
    </row>
    <row r="44" spans="1:27" x14ac:dyDescent="0.3">
      <c r="A44">
        <v>17</v>
      </c>
      <c r="B44" s="40">
        <v>8.2916666666666503E-3</v>
      </c>
      <c r="C44" s="40">
        <v>4.3333333333333175E-3</v>
      </c>
      <c r="D44">
        <v>9</v>
      </c>
      <c r="E44" s="55">
        <v>0.37362637362637363</v>
      </c>
      <c r="F44" s="55">
        <v>0.34065934065934067</v>
      </c>
      <c r="G44" s="55">
        <v>0.2857142857142857</v>
      </c>
      <c r="H44">
        <v>3</v>
      </c>
      <c r="I44" s="40">
        <v>0.15069444444444391</v>
      </c>
    </row>
    <row r="45" spans="1:27" x14ac:dyDescent="0.3">
      <c r="A45">
        <v>18</v>
      </c>
      <c r="B45" s="40">
        <v>8.3749999999999849E-3</v>
      </c>
      <c r="C45" s="40">
        <v>4.4166666666666512E-3</v>
      </c>
      <c r="D45">
        <v>11</v>
      </c>
      <c r="E45" s="55">
        <v>0.3595505617977528</v>
      </c>
      <c r="F45" s="55">
        <v>0.3595505617977528</v>
      </c>
      <c r="G45" s="55">
        <v>0.2808988764044944</v>
      </c>
      <c r="H45">
        <v>5</v>
      </c>
      <c r="I45" s="40">
        <v>0.13819444444444395</v>
      </c>
    </row>
    <row r="46" spans="1:27" x14ac:dyDescent="0.3">
      <c r="A46">
        <v>19</v>
      </c>
      <c r="B46" s="40">
        <v>8.0555555555555415E-3</v>
      </c>
      <c r="C46" s="40">
        <v>4.1527777777777631E-3</v>
      </c>
      <c r="D46">
        <v>6</v>
      </c>
      <c r="E46" s="55">
        <v>0.35106382978723405</v>
      </c>
      <c r="F46" s="55">
        <v>0.34042553191489361</v>
      </c>
      <c r="G46" s="55">
        <v>0.30851063829787234</v>
      </c>
      <c r="H46">
        <v>3</v>
      </c>
      <c r="I46" s="40">
        <v>0.14791666666666614</v>
      </c>
    </row>
    <row r="47" spans="1:27" x14ac:dyDescent="0.3">
      <c r="A47">
        <v>20</v>
      </c>
      <c r="B47" s="40">
        <v>7.958333333333319E-3</v>
      </c>
      <c r="C47" s="40">
        <v>4.0624999999999854E-3</v>
      </c>
      <c r="D47">
        <v>4</v>
      </c>
      <c r="E47" s="55">
        <v>0.41666666666666669</v>
      </c>
      <c r="F47" s="55">
        <v>0.34375</v>
      </c>
      <c r="G47" s="55">
        <v>0.23958333333333334</v>
      </c>
      <c r="H47">
        <v>2</v>
      </c>
      <c r="I47" s="40">
        <v>0.14583333333333282</v>
      </c>
      <c r="U47">
        <v>1</v>
      </c>
      <c r="V47">
        <v>2</v>
      </c>
      <c r="W47">
        <v>3</v>
      </c>
    </row>
    <row r="48" spans="1:27" x14ac:dyDescent="0.3">
      <c r="A48" t="s">
        <v>75</v>
      </c>
      <c r="B48" s="40">
        <f>SUBTOTAL(101,Таблица1[среднее время пребывания в системе])</f>
        <v>8.229166666666652E-3</v>
      </c>
      <c r="C48" s="40">
        <f>SUBTOTAL(101,Таблица1[среднее время обслуживания])</f>
        <v>4.2885416666666506E-3</v>
      </c>
      <c r="D48">
        <f>SUBTOTAL(104,Таблица1[количество потерянных заявок на обслуживание])</f>
        <v>20</v>
      </c>
      <c r="E48" s="55">
        <f>SUBTOTAL(101,Таблица1[коэффициент полезной загрузки сервера 1])</f>
        <v>0.35812395484943826</v>
      </c>
      <c r="F48" s="55">
        <f>SUBTOTAL(101,Таблица1[коэффициент полезной загрузки сервера 2])</f>
        <v>0.34253150500562329</v>
      </c>
      <c r="G48" s="55">
        <f>SUBTOTAL(101,Таблица1[коэффициент полезной загрузки сервера 3])</f>
        <v>0.29934454014493844</v>
      </c>
      <c r="H48">
        <f>SUBTOTAL(104,Таблица1[макс. размер очереди])</f>
        <v>5</v>
      </c>
      <c r="I48" s="40">
        <f>SUBTOTAL(104,Таблица1[длительность обслуживания клиентов])</f>
        <v>0.15763888888888833</v>
      </c>
      <c r="T48" s="59" t="s">
        <v>93</v>
      </c>
      <c r="U48" s="72">
        <v>0.41666666666666669</v>
      </c>
      <c r="V48" s="72">
        <v>0.39175257731958762</v>
      </c>
      <c r="W48" s="72">
        <v>0.36363636363636365</v>
      </c>
    </row>
    <row r="49" spans="2:23" x14ac:dyDescent="0.3">
      <c r="T49" s="59" t="s">
        <v>92</v>
      </c>
      <c r="U49" s="72">
        <v>0.2967032967032967</v>
      </c>
      <c r="V49" s="72">
        <v>0.27272727272727271</v>
      </c>
      <c r="W49" s="72">
        <v>0.23958333333333334</v>
      </c>
    </row>
    <row r="50" spans="2:23" x14ac:dyDescent="0.3">
      <c r="C50" s="69" t="s">
        <v>7</v>
      </c>
      <c r="D50" s="69" t="s">
        <v>106</v>
      </c>
      <c r="T50" s="59" t="s">
        <v>83</v>
      </c>
      <c r="U50" s="72">
        <v>0.35812395484943826</v>
      </c>
      <c r="V50" s="72">
        <v>0.34253150500562329</v>
      </c>
      <c r="W50" s="72">
        <v>0.29934454014493844</v>
      </c>
    </row>
    <row r="51" spans="2:23" x14ac:dyDescent="0.3">
      <c r="B51" s="40">
        <f>MAX(Таблица1[среднее время пребывания в системе])</f>
        <v>9.13888888888887E-3</v>
      </c>
      <c r="C51" s="68">
        <f>B52+$B$53</f>
        <v>7.4246031746031619E-3</v>
      </c>
      <c r="D51" s="67">
        <f t="array" ref="D51:D57">FREQUENCY(Таблица1[среднее время пребывания в системе],C51:C57)</f>
        <v>1</v>
      </c>
    </row>
    <row r="52" spans="2:23" x14ac:dyDescent="0.3">
      <c r="B52" s="40">
        <f>MIN(Таблица1[среднее время пребывания в системе])</f>
        <v>7.1388888888888769E-3</v>
      </c>
      <c r="C52" s="68">
        <f>C51+$B$53</f>
        <v>7.7103174603174469E-3</v>
      </c>
      <c r="D52" s="67">
        <v>1</v>
      </c>
      <c r="R52" t="s">
        <v>104</v>
      </c>
    </row>
    <row r="53" spans="2:23" x14ac:dyDescent="0.3">
      <c r="B53" s="40">
        <f>(B51-B52)/7</f>
        <v>2.8571428571428471E-4</v>
      </c>
      <c r="C53" s="68">
        <f t="shared" ref="C53:C57" si="8">C52+$B$53</f>
        <v>7.9960317460317318E-3</v>
      </c>
      <c r="D53" s="67">
        <v>3</v>
      </c>
    </row>
    <row r="54" spans="2:23" x14ac:dyDescent="0.3">
      <c r="C54" s="68">
        <f t="shared" si="8"/>
        <v>8.2817460317460168E-3</v>
      </c>
      <c r="D54" s="67">
        <v>5</v>
      </c>
    </row>
    <row r="55" spans="2:23" x14ac:dyDescent="0.3">
      <c r="C55" s="68">
        <f t="shared" si="8"/>
        <v>8.5674603174603018E-3</v>
      </c>
      <c r="D55" s="67">
        <v>5</v>
      </c>
    </row>
    <row r="56" spans="2:23" x14ac:dyDescent="0.3">
      <c r="C56" s="68">
        <f t="shared" si="8"/>
        <v>8.8531746031745868E-3</v>
      </c>
      <c r="D56" s="67">
        <v>4</v>
      </c>
    </row>
    <row r="57" spans="2:23" x14ac:dyDescent="0.3">
      <c r="C57" s="68">
        <f t="shared" si="8"/>
        <v>9.1388888888888718E-3</v>
      </c>
      <c r="D57" s="67">
        <v>1</v>
      </c>
    </row>
    <row r="66" spans="1:25" ht="15" thickBot="1" x14ac:dyDescent="0.35"/>
    <row r="67" spans="1:25" x14ac:dyDescent="0.3">
      <c r="C67" s="70" t="s">
        <v>108</v>
      </c>
      <c r="D67" s="70" t="s">
        <v>105</v>
      </c>
    </row>
    <row r="68" spans="1:25" x14ac:dyDescent="0.3">
      <c r="C68" s="59">
        <v>3</v>
      </c>
      <c r="D68" s="59">
        <v>1</v>
      </c>
    </row>
    <row r="69" spans="1:25" x14ac:dyDescent="0.3">
      <c r="C69" s="59">
        <v>7</v>
      </c>
      <c r="D69" s="59">
        <v>8</v>
      </c>
    </row>
    <row r="70" spans="1:25" x14ac:dyDescent="0.3">
      <c r="C70" s="59">
        <v>12</v>
      </c>
      <c r="D70" s="59">
        <v>8</v>
      </c>
    </row>
    <row r="71" spans="1:25" x14ac:dyDescent="0.3">
      <c r="C71" s="59">
        <v>16</v>
      </c>
      <c r="D71" s="59">
        <v>2</v>
      </c>
    </row>
    <row r="72" spans="1:25" ht="15" thickBot="1" x14ac:dyDescent="0.35">
      <c r="C72" s="71" t="s">
        <v>107</v>
      </c>
      <c r="D72" s="60">
        <v>1</v>
      </c>
    </row>
    <row r="79" spans="1:25" ht="15" thickBot="1" x14ac:dyDescent="0.35"/>
    <row r="80" spans="1:25" ht="57.6" x14ac:dyDescent="0.3">
      <c r="A80" s="73" t="s">
        <v>71</v>
      </c>
      <c r="B80" s="74" t="s">
        <v>72</v>
      </c>
      <c r="C80" s="75" t="s">
        <v>59</v>
      </c>
      <c r="D80" s="76" t="s">
        <v>73</v>
      </c>
      <c r="E80" s="77" t="s">
        <v>109</v>
      </c>
      <c r="F80" s="77" t="s">
        <v>110</v>
      </c>
      <c r="G80" s="77" t="s">
        <v>111</v>
      </c>
      <c r="H80" s="78" t="s">
        <v>74</v>
      </c>
      <c r="I80" s="79" t="s">
        <v>112</v>
      </c>
      <c r="T80" s="62" t="s">
        <v>98</v>
      </c>
      <c r="U80" s="62"/>
      <c r="V80" s="62" t="s">
        <v>99</v>
      </c>
      <c r="W80" s="62"/>
      <c r="X80" s="62" t="s">
        <v>100</v>
      </c>
      <c r="Y80" s="61"/>
    </row>
    <row r="81" spans="1:25" x14ac:dyDescent="0.3">
      <c r="A81">
        <v>1</v>
      </c>
      <c r="B81" s="40">
        <v>8.4166666666666487E-3</v>
      </c>
      <c r="C81" s="40">
        <v>4.2916666666666511E-3</v>
      </c>
      <c r="D81">
        <v>3</v>
      </c>
      <c r="E81" s="55">
        <v>0.4329896907216495</v>
      </c>
      <c r="F81" s="55">
        <v>0.34020618556701032</v>
      </c>
      <c r="G81" s="55">
        <v>0.22680412371134021</v>
      </c>
      <c r="H81">
        <v>3</v>
      </c>
      <c r="I81" s="40">
        <v>0.14166666666666616</v>
      </c>
      <c r="L81" s="1" t="s">
        <v>80</v>
      </c>
      <c r="M81" s="1" t="s">
        <v>81</v>
      </c>
      <c r="N81" s="1" t="s">
        <v>82</v>
      </c>
      <c r="T81" s="59"/>
      <c r="U81" s="59"/>
      <c r="V81" s="59"/>
      <c r="W81" s="59"/>
      <c r="X81" s="59"/>
      <c r="Y81" s="59"/>
    </row>
    <row r="82" spans="1:25" ht="15" thickBot="1" x14ac:dyDescent="0.35">
      <c r="A82">
        <v>2</v>
      </c>
      <c r="B82" s="40">
        <v>8.652777777777761E-3</v>
      </c>
      <c r="C82" s="40">
        <v>4.4097222222222064E-3</v>
      </c>
      <c r="D82">
        <v>3</v>
      </c>
      <c r="E82" s="55">
        <v>0.32989690721649484</v>
      </c>
      <c r="F82" s="55">
        <v>0.39175257731958762</v>
      </c>
      <c r="G82" s="55">
        <v>0.27835051546391754</v>
      </c>
      <c r="H82">
        <v>4</v>
      </c>
      <c r="I82" s="40">
        <v>0.15694444444444389</v>
      </c>
      <c r="L82" s="56">
        <v>0.375</v>
      </c>
      <c r="M82" s="56">
        <v>0.75</v>
      </c>
      <c r="N82">
        <v>4</v>
      </c>
      <c r="T82" s="59" t="s">
        <v>83</v>
      </c>
      <c r="U82" s="59">
        <v>0.36970620869530624</v>
      </c>
      <c r="V82" s="59" t="s">
        <v>83</v>
      </c>
      <c r="W82" s="59">
        <v>0.35116639290516533</v>
      </c>
      <c r="X82" s="59" t="s">
        <v>83</v>
      </c>
      <c r="Y82" s="59">
        <v>0.27912739839952827</v>
      </c>
    </row>
    <row r="83" spans="1:25" x14ac:dyDescent="0.3">
      <c r="A83">
        <v>3</v>
      </c>
      <c r="B83" s="40">
        <v>8.0138888888888725E-3</v>
      </c>
      <c r="C83" s="40">
        <v>4.2013888888888743E-3</v>
      </c>
      <c r="D83">
        <v>7</v>
      </c>
      <c r="E83" s="55">
        <v>0.38709677419354838</v>
      </c>
      <c r="F83" s="55">
        <v>0.34408602150537637</v>
      </c>
      <c r="G83" s="55">
        <v>0.26881720430107525</v>
      </c>
      <c r="H83">
        <v>4</v>
      </c>
      <c r="I83" s="40">
        <v>0.13819444444444395</v>
      </c>
      <c r="K83" s="1" t="s">
        <v>78</v>
      </c>
      <c r="L83" s="57" t="s">
        <v>6</v>
      </c>
      <c r="M83" s="13" t="s">
        <v>10</v>
      </c>
      <c r="N83" s="14" t="s">
        <v>7</v>
      </c>
      <c r="T83" s="59" t="s">
        <v>84</v>
      </c>
      <c r="U83" s="59">
        <v>7.7434464814428961E-3</v>
      </c>
      <c r="V83" s="59" t="s">
        <v>84</v>
      </c>
      <c r="W83" s="59">
        <v>6.3162608184846019E-3</v>
      </c>
      <c r="X83" s="59" t="s">
        <v>84</v>
      </c>
      <c r="Y83" s="59">
        <v>7.8706891539058483E-3</v>
      </c>
    </row>
    <row r="84" spans="1:25" x14ac:dyDescent="0.3">
      <c r="A84">
        <v>4</v>
      </c>
      <c r="B84" s="40">
        <v>8.5555555555555385E-3</v>
      </c>
      <c r="C84" s="40">
        <v>4.361111111111096E-3</v>
      </c>
      <c r="D84">
        <v>3</v>
      </c>
      <c r="E84" s="55">
        <v>0.37113402061855671</v>
      </c>
      <c r="F84" s="55">
        <v>0.34020618556701032</v>
      </c>
      <c r="G84" s="55">
        <v>0.28865979381443296</v>
      </c>
      <c r="H84">
        <v>2</v>
      </c>
      <c r="I84" s="40">
        <v>0.14305555555555505</v>
      </c>
      <c r="L84" s="58" t="s">
        <v>11</v>
      </c>
      <c r="M84" s="11" t="s">
        <v>11</v>
      </c>
      <c r="N84" s="12" t="s">
        <v>8</v>
      </c>
      <c r="T84" s="59" t="s">
        <v>85</v>
      </c>
      <c r="U84" s="59">
        <v>0.3817067530064755</v>
      </c>
      <c r="V84" s="59" t="s">
        <v>85</v>
      </c>
      <c r="W84" s="59">
        <v>0.34730074271145106</v>
      </c>
      <c r="X84" s="59" t="s">
        <v>85</v>
      </c>
      <c r="Y84" s="59">
        <v>0.27371453900709219</v>
      </c>
    </row>
    <row r="85" spans="1:25" ht="15" thickBot="1" x14ac:dyDescent="0.35">
      <c r="A85">
        <v>5</v>
      </c>
      <c r="B85" s="40">
        <v>7.4722222222222091E-3</v>
      </c>
      <c r="C85" s="40">
        <v>3.7916666666666533E-3</v>
      </c>
      <c r="D85">
        <v>2</v>
      </c>
      <c r="E85" s="55">
        <v>0.38775510204081631</v>
      </c>
      <c r="F85" s="55">
        <v>0.37755102040816324</v>
      </c>
      <c r="G85" s="55">
        <v>0.23469387755102042</v>
      </c>
      <c r="H85">
        <v>2</v>
      </c>
      <c r="I85" s="40">
        <v>0.15138888888888835</v>
      </c>
      <c r="L85" s="58"/>
      <c r="M85" s="11"/>
      <c r="N85" s="12" t="s">
        <v>9</v>
      </c>
      <c r="T85" s="59" t="s">
        <v>86</v>
      </c>
      <c r="U85" s="59">
        <v>0.38709677419354838</v>
      </c>
      <c r="V85" s="59" t="s">
        <v>86</v>
      </c>
      <c r="W85" s="59">
        <v>0.34020618556701032</v>
      </c>
      <c r="X85" s="59" t="s">
        <v>86</v>
      </c>
      <c r="Y85" s="59">
        <v>0.25531914893617019</v>
      </c>
    </row>
    <row r="86" spans="1:25" x14ac:dyDescent="0.3">
      <c r="A86">
        <v>6</v>
      </c>
      <c r="B86" s="40">
        <v>8.5972222222222058E-3</v>
      </c>
      <c r="C86" s="40">
        <v>4.4930555555555392E-3</v>
      </c>
      <c r="D86">
        <v>7</v>
      </c>
      <c r="E86" s="55">
        <v>0.38709677419354838</v>
      </c>
      <c r="F86" s="55">
        <v>0.35483870967741937</v>
      </c>
      <c r="G86" s="55">
        <v>0.25806451612903225</v>
      </c>
      <c r="H86">
        <v>4</v>
      </c>
      <c r="I86" s="40">
        <v>0.15069444444444391</v>
      </c>
      <c r="L86" s="15">
        <v>0</v>
      </c>
      <c r="M86" s="16">
        <v>0.15</v>
      </c>
      <c r="N86" s="17">
        <v>1</v>
      </c>
      <c r="T86" s="59" t="s">
        <v>87</v>
      </c>
      <c r="U86" s="59">
        <v>3.4629745425275762E-2</v>
      </c>
      <c r="V86" s="59" t="s">
        <v>87</v>
      </c>
      <c r="W86" s="59">
        <v>2.8247177107500063E-2</v>
      </c>
      <c r="X86" s="59" t="s">
        <v>87</v>
      </c>
      <c r="Y86" s="59">
        <v>3.5198791955807565E-2</v>
      </c>
    </row>
    <row r="87" spans="1:25" x14ac:dyDescent="0.3">
      <c r="A87">
        <v>7</v>
      </c>
      <c r="B87" s="40">
        <v>7.9444444444444276E-3</v>
      </c>
      <c r="C87" s="40">
        <v>4.1388888888888743E-3</v>
      </c>
      <c r="D87">
        <v>6</v>
      </c>
      <c r="E87" s="55">
        <v>0.38297872340425532</v>
      </c>
      <c r="F87" s="55">
        <v>0.34042553191489361</v>
      </c>
      <c r="G87" s="55">
        <v>0.27659574468085107</v>
      </c>
      <c r="H87">
        <v>4</v>
      </c>
      <c r="I87" s="40">
        <v>0.14166666666666616</v>
      </c>
      <c r="L87" s="18">
        <v>0.15</v>
      </c>
      <c r="M87" s="19">
        <v>0.4</v>
      </c>
      <c r="N87" s="20">
        <v>3</v>
      </c>
      <c r="T87" s="59" t="s">
        <v>88</v>
      </c>
      <c r="U87" s="59">
        <v>1.1992192682194075E-3</v>
      </c>
      <c r="V87" s="59" t="s">
        <v>88</v>
      </c>
      <c r="W87" s="59">
        <v>7.979030145424756E-4</v>
      </c>
      <c r="X87" s="59" t="s">
        <v>88</v>
      </c>
      <c r="Y87" s="59">
        <v>1.2389549551482233E-3</v>
      </c>
    </row>
    <row r="88" spans="1:25" x14ac:dyDescent="0.3">
      <c r="A88">
        <v>8</v>
      </c>
      <c r="B88" s="40">
        <v>7.7083333333333214E-3</v>
      </c>
      <c r="C88" s="40">
        <v>4.020833333333319E-3</v>
      </c>
      <c r="D88">
        <v>6</v>
      </c>
      <c r="E88" s="55">
        <v>0.40425531914893614</v>
      </c>
      <c r="F88" s="55">
        <v>0.34042553191489361</v>
      </c>
      <c r="G88" s="55">
        <v>0.25531914893617019</v>
      </c>
      <c r="H88">
        <v>3</v>
      </c>
      <c r="I88" s="40">
        <v>0.14374999999999949</v>
      </c>
      <c r="L88" s="18">
        <v>0.4</v>
      </c>
      <c r="M88" s="19">
        <v>0.65</v>
      </c>
      <c r="N88" s="20">
        <v>5</v>
      </c>
      <c r="T88" s="59" t="s">
        <v>89</v>
      </c>
      <c r="U88" s="59">
        <v>-0.61155173577077182</v>
      </c>
      <c r="V88" s="59" t="s">
        <v>89</v>
      </c>
      <c r="W88" s="59">
        <v>-0.17494565622810043</v>
      </c>
      <c r="X88" s="59" t="s">
        <v>89</v>
      </c>
      <c r="Y88" s="59">
        <v>4.8320083251922057</v>
      </c>
    </row>
    <row r="89" spans="1:25" ht="15" thickBot="1" x14ac:dyDescent="0.35">
      <c r="A89">
        <v>9</v>
      </c>
      <c r="B89" s="40">
        <v>9.1249999999999803E-3</v>
      </c>
      <c r="C89" s="40">
        <v>4.7291666666666498E-3</v>
      </c>
      <c r="D89">
        <v>6</v>
      </c>
      <c r="E89" s="55">
        <v>0.38297872340425532</v>
      </c>
      <c r="F89" s="55">
        <v>0.36170212765957449</v>
      </c>
      <c r="G89" s="55">
        <v>0.25531914893617019</v>
      </c>
      <c r="H89">
        <v>4</v>
      </c>
      <c r="I89" s="40">
        <v>0.14305555555555505</v>
      </c>
      <c r="L89" s="21">
        <v>0.65</v>
      </c>
      <c r="M89" s="22">
        <v>1</v>
      </c>
      <c r="N89" s="23">
        <v>10</v>
      </c>
      <c r="T89" s="59" t="s">
        <v>90</v>
      </c>
      <c r="U89" s="59">
        <v>-0.11866183278464165</v>
      </c>
      <c r="V89" s="59" t="s">
        <v>90</v>
      </c>
      <c r="W89" s="59">
        <v>-0.17638476182378837</v>
      </c>
      <c r="X89" s="59" t="s">
        <v>90</v>
      </c>
      <c r="Y89" s="59">
        <v>1.7089103559804353</v>
      </c>
    </row>
    <row r="90" spans="1:25" ht="15" thickBot="1" x14ac:dyDescent="0.35">
      <c r="A90">
        <v>10</v>
      </c>
      <c r="B90" s="40">
        <v>8.8888888888888698E-3</v>
      </c>
      <c r="C90" s="40">
        <v>4.6666666666666497E-3</v>
      </c>
      <c r="D90">
        <v>8</v>
      </c>
      <c r="E90" s="55">
        <v>0.31521739130434784</v>
      </c>
      <c r="F90" s="55">
        <v>0.29347826086956524</v>
      </c>
      <c r="G90" s="55">
        <v>0.39130434782608697</v>
      </c>
      <c r="H90">
        <v>3</v>
      </c>
      <c r="I90" s="40">
        <v>0.1340277777777773</v>
      </c>
      <c r="T90" s="59" t="s">
        <v>91</v>
      </c>
      <c r="U90" s="59">
        <v>0.11777229941730166</v>
      </c>
      <c r="V90" s="59" t="s">
        <v>91</v>
      </c>
      <c r="W90" s="59">
        <v>0.10212613473483034</v>
      </c>
      <c r="X90" s="59" t="s">
        <v>91</v>
      </c>
      <c r="Y90" s="59">
        <v>0.16450022411474677</v>
      </c>
    </row>
    <row r="91" spans="1:25" ht="15" customHeight="1" x14ac:dyDescent="0.3">
      <c r="A91">
        <v>11</v>
      </c>
      <c r="B91" s="40">
        <v>9.3611111111110909E-3</v>
      </c>
      <c r="C91" s="40">
        <v>4.7916666666666498E-3</v>
      </c>
      <c r="D91">
        <v>4</v>
      </c>
      <c r="E91" s="55">
        <v>0.38541666666666669</v>
      </c>
      <c r="F91" s="55">
        <v>0.34375</v>
      </c>
      <c r="G91" s="55">
        <v>0.27083333333333331</v>
      </c>
      <c r="H91">
        <v>2</v>
      </c>
      <c r="I91" s="40">
        <v>0.155555555555555</v>
      </c>
      <c r="K91" s="1" t="s">
        <v>79</v>
      </c>
      <c r="L91" s="57" t="s">
        <v>6</v>
      </c>
      <c r="M91" s="13" t="s">
        <v>10</v>
      </c>
      <c r="N91" s="14" t="s">
        <v>26</v>
      </c>
      <c r="T91" s="59" t="s">
        <v>92</v>
      </c>
      <c r="U91" s="59">
        <v>0.31521739130434784</v>
      </c>
      <c r="V91" s="59" t="s">
        <v>92</v>
      </c>
      <c r="W91" s="59">
        <v>0.29347826086956524</v>
      </c>
      <c r="X91" s="59" t="s">
        <v>92</v>
      </c>
      <c r="Y91" s="59">
        <v>0.22680412371134021</v>
      </c>
    </row>
    <row r="92" spans="1:25" x14ac:dyDescent="0.3">
      <c r="A92">
        <v>12</v>
      </c>
      <c r="B92" s="40">
        <v>9.9999999999999794E-3</v>
      </c>
      <c r="C92" s="40">
        <v>5.2499999999999812E-3</v>
      </c>
      <c r="D92">
        <v>9</v>
      </c>
      <c r="E92" s="55">
        <v>0.31868131868131866</v>
      </c>
      <c r="F92" s="55">
        <v>0.39560439560439559</v>
      </c>
      <c r="G92" s="55">
        <v>0.2857142857142857</v>
      </c>
      <c r="H92">
        <v>3</v>
      </c>
      <c r="I92" s="40">
        <v>0.14999999999999947</v>
      </c>
      <c r="L92" s="58" t="s">
        <v>11</v>
      </c>
      <c r="M92" s="11" t="s">
        <v>11</v>
      </c>
      <c r="N92" s="12" t="s">
        <v>8</v>
      </c>
      <c r="T92" s="59" t="s">
        <v>93</v>
      </c>
      <c r="U92" s="59">
        <v>0.4329896907216495</v>
      </c>
      <c r="V92" s="59" t="s">
        <v>93</v>
      </c>
      <c r="W92" s="59">
        <v>0.39560439560439559</v>
      </c>
      <c r="X92" s="59" t="s">
        <v>93</v>
      </c>
      <c r="Y92" s="59">
        <v>0.39130434782608697</v>
      </c>
    </row>
    <row r="93" spans="1:25" ht="15" thickBot="1" x14ac:dyDescent="0.35">
      <c r="A93">
        <v>13</v>
      </c>
      <c r="B93" s="40">
        <v>8.8611111111110922E-3</v>
      </c>
      <c r="C93" s="40">
        <v>4.6249999999999833E-3</v>
      </c>
      <c r="D93">
        <v>7</v>
      </c>
      <c r="E93" s="55">
        <v>0.32258064516129031</v>
      </c>
      <c r="F93" s="55">
        <v>0.38709677419354838</v>
      </c>
      <c r="G93" s="55">
        <v>0.29032258064516131</v>
      </c>
      <c r="H93">
        <v>3</v>
      </c>
      <c r="I93" s="40">
        <v>0.1472222222222217</v>
      </c>
      <c r="L93" s="58"/>
      <c r="M93" s="11"/>
      <c r="N93" s="12" t="s">
        <v>9</v>
      </c>
      <c r="T93" s="59" t="s">
        <v>94</v>
      </c>
      <c r="U93" s="59">
        <v>7.3941241739061248</v>
      </c>
      <c r="V93" s="59" t="s">
        <v>94</v>
      </c>
      <c r="W93" s="59">
        <v>7.0233278581033067</v>
      </c>
      <c r="X93" s="59" t="s">
        <v>94</v>
      </c>
      <c r="Y93" s="59">
        <v>5.5825479679905659</v>
      </c>
    </row>
    <row r="94" spans="1:25" ht="15" thickBot="1" x14ac:dyDescent="0.35">
      <c r="A94">
        <v>14</v>
      </c>
      <c r="B94" s="40">
        <v>8.2777777777777624E-3</v>
      </c>
      <c r="C94" s="40">
        <v>4.2222222222222071E-3</v>
      </c>
      <c r="D94">
        <v>3</v>
      </c>
      <c r="E94" s="55">
        <v>0.35051546391752575</v>
      </c>
      <c r="F94" s="55">
        <v>0.39175257731958762</v>
      </c>
      <c r="G94" s="55">
        <v>0.25773195876288657</v>
      </c>
      <c r="H94">
        <v>2</v>
      </c>
      <c r="I94" s="40">
        <v>0.1472222222222217</v>
      </c>
      <c r="L94" s="15">
        <v>0</v>
      </c>
      <c r="M94" s="16">
        <v>0.3</v>
      </c>
      <c r="N94" s="17">
        <v>3</v>
      </c>
      <c r="T94" s="60" t="s">
        <v>95</v>
      </c>
      <c r="U94" s="60">
        <v>20</v>
      </c>
      <c r="V94" s="60" t="s">
        <v>95</v>
      </c>
      <c r="W94" s="60">
        <v>20</v>
      </c>
      <c r="X94" s="60" t="s">
        <v>95</v>
      </c>
      <c r="Y94" s="60">
        <v>20</v>
      </c>
    </row>
    <row r="95" spans="1:25" x14ac:dyDescent="0.3">
      <c r="A95">
        <v>15</v>
      </c>
      <c r="B95" s="40">
        <v>7.7222222222222093E-3</v>
      </c>
      <c r="C95" s="40">
        <v>3.9166666666666525E-3</v>
      </c>
      <c r="D95">
        <v>2</v>
      </c>
      <c r="E95" s="55">
        <v>0.35714285714285715</v>
      </c>
      <c r="F95" s="55">
        <v>0.35714285714285715</v>
      </c>
      <c r="G95" s="55">
        <v>0.2857142857142857</v>
      </c>
      <c r="H95">
        <v>1</v>
      </c>
      <c r="I95" s="40">
        <v>0.14999999999999947</v>
      </c>
      <c r="L95" s="18">
        <v>0.3</v>
      </c>
      <c r="M95" s="19">
        <v>0.64</v>
      </c>
      <c r="N95" s="20">
        <v>7</v>
      </c>
      <c r="U95">
        <v>0</v>
      </c>
      <c r="W95">
        <v>0</v>
      </c>
      <c r="Y95">
        <v>0</v>
      </c>
    </row>
    <row r="96" spans="1:25" ht="15" thickBot="1" x14ac:dyDescent="0.35">
      <c r="A96">
        <v>16</v>
      </c>
      <c r="B96" s="40">
        <v>8.791666666666649E-3</v>
      </c>
      <c r="C96" s="40">
        <v>4.6180555555555393E-3</v>
      </c>
      <c r="D96">
        <v>8</v>
      </c>
      <c r="E96" s="55">
        <v>0.38043478260869568</v>
      </c>
      <c r="F96" s="55">
        <v>0.35869565217391303</v>
      </c>
      <c r="G96" s="55">
        <v>0.2608695652173913</v>
      </c>
      <c r="H96">
        <v>5</v>
      </c>
      <c r="I96" s="40">
        <v>0.14027777777777728</v>
      </c>
      <c r="L96" s="21">
        <v>0.65</v>
      </c>
      <c r="M96" s="22">
        <v>1</v>
      </c>
      <c r="N96" s="23">
        <v>8</v>
      </c>
    </row>
    <row r="97" spans="1:23" x14ac:dyDescent="0.3">
      <c r="A97">
        <v>17</v>
      </c>
      <c r="B97" s="40">
        <v>8.6944444444444265E-3</v>
      </c>
      <c r="C97" s="40">
        <v>4.43055555555554E-3</v>
      </c>
      <c r="D97">
        <v>3</v>
      </c>
      <c r="E97" s="55">
        <v>0.31958762886597936</v>
      </c>
      <c r="F97" s="55">
        <v>0.35051546391752575</v>
      </c>
      <c r="G97" s="55">
        <v>0.32989690721649484</v>
      </c>
      <c r="H97">
        <v>2</v>
      </c>
      <c r="I97" s="40">
        <v>0.14444444444444393</v>
      </c>
    </row>
    <row r="98" spans="1:23" x14ac:dyDescent="0.3">
      <c r="A98">
        <v>18</v>
      </c>
      <c r="B98" s="40">
        <v>9.4999999999999789E-3</v>
      </c>
      <c r="C98" s="40">
        <v>5.0277777777777595E-3</v>
      </c>
      <c r="D98">
        <v>10</v>
      </c>
      <c r="E98" s="55">
        <v>0.36666666666666664</v>
      </c>
      <c r="F98" s="55">
        <v>0.33333333333333331</v>
      </c>
      <c r="G98" s="55">
        <v>0.3</v>
      </c>
      <c r="H98">
        <v>3</v>
      </c>
      <c r="I98" s="40">
        <v>0.14166666666666616</v>
      </c>
    </row>
    <row r="99" spans="1:23" x14ac:dyDescent="0.3">
      <c r="A99">
        <v>19</v>
      </c>
      <c r="B99" s="40">
        <v>7.4999999999999867E-3</v>
      </c>
      <c r="C99" s="40">
        <v>3.8611111111110973E-3</v>
      </c>
      <c r="D99">
        <v>4</v>
      </c>
      <c r="E99" s="55">
        <v>0.42708333333333331</v>
      </c>
      <c r="F99" s="55">
        <v>0.30208333333333331</v>
      </c>
      <c r="G99" s="55">
        <v>0.27083333333333331</v>
      </c>
      <c r="H99">
        <v>3</v>
      </c>
      <c r="I99" s="40">
        <v>0.14305555555555505</v>
      </c>
      <c r="U99">
        <v>1</v>
      </c>
      <c r="V99">
        <v>2</v>
      </c>
      <c r="W99">
        <v>3</v>
      </c>
    </row>
    <row r="100" spans="1:23" x14ac:dyDescent="0.3">
      <c r="A100">
        <v>20</v>
      </c>
      <c r="B100" s="40">
        <v>8.0972222222222071E-3</v>
      </c>
      <c r="C100" s="40">
        <v>4.2986111111110959E-3</v>
      </c>
      <c r="D100">
        <v>9</v>
      </c>
      <c r="E100" s="55">
        <v>0.38461538461538464</v>
      </c>
      <c r="F100" s="55">
        <v>0.31868131868131866</v>
      </c>
      <c r="G100" s="55">
        <v>0.2967032967032967</v>
      </c>
      <c r="H100">
        <v>4</v>
      </c>
      <c r="I100" s="40">
        <v>0.14166666666666616</v>
      </c>
      <c r="T100" s="59" t="s">
        <v>93</v>
      </c>
      <c r="U100" s="72">
        <v>0.4329896907216495</v>
      </c>
      <c r="V100" s="72">
        <v>0.39560439560439559</v>
      </c>
      <c r="W100" s="72">
        <v>0.39130434782608697</v>
      </c>
    </row>
    <row r="101" spans="1:23" x14ac:dyDescent="0.3">
      <c r="A101" t="s">
        <v>75</v>
      </c>
      <c r="B101" s="40">
        <f>SUBTOTAL(101,Таблица8[среднее время пребывания в системе])</f>
        <v>8.5090277777777595E-3</v>
      </c>
      <c r="C101" s="40">
        <f>SUBTOTAL(101,Таблица8[среднее время обслуживания])</f>
        <v>4.4072916666666514E-3</v>
      </c>
      <c r="D101">
        <f>SUBTOTAL(104,Таблица8[количество потерянных заявок на обслуживание])</f>
        <v>10</v>
      </c>
      <c r="E101" s="55">
        <f>SUBTOTAL(101,Таблица8[коэффициент полезной загрузки сервера 1])</f>
        <v>0.36970620869530624</v>
      </c>
      <c r="F101" s="55">
        <f>SUBTOTAL(101,Таблица8[коэффициент полезной загрузки сервера 2])</f>
        <v>0.35116639290516533</v>
      </c>
      <c r="G101" s="55">
        <f>SUBTOTAL(101,Таблица8[коэффициент полезной загрузки сервера 3])</f>
        <v>0.27912739839952827</v>
      </c>
      <c r="H101">
        <f>SUBTOTAL(104,Таблица8[макс. размер очереди])</f>
        <v>5</v>
      </c>
      <c r="I101" s="40">
        <f>SUBTOTAL(104,Таблица8[длительность обслуживания клиентов])</f>
        <v>0.15694444444444389</v>
      </c>
      <c r="T101" s="59" t="s">
        <v>92</v>
      </c>
      <c r="U101" s="72">
        <v>0.31521739130434784</v>
      </c>
      <c r="V101" s="72">
        <v>0.29347826086956524</v>
      </c>
      <c r="W101" s="72">
        <v>0.22680412371134021</v>
      </c>
    </row>
    <row r="102" spans="1:23" x14ac:dyDescent="0.3">
      <c r="T102" s="59" t="s">
        <v>83</v>
      </c>
      <c r="U102" s="72">
        <v>0.36970620869530624</v>
      </c>
      <c r="V102" s="72">
        <v>0.35116639290516533</v>
      </c>
      <c r="W102" s="72">
        <v>0.27912739839952827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</vt:i4>
      </vt:variant>
    </vt:vector>
  </HeadingPairs>
  <TitlesOfParts>
    <vt:vector size="14" baseType="lpstr">
      <vt:lpstr>модель</vt:lpstr>
      <vt:lpstr>эксперимент</vt:lpstr>
      <vt:lpstr>ALT</vt:lpstr>
      <vt:lpstr>AST</vt:lpstr>
      <vt:lpstr>closed</vt:lpstr>
      <vt:lpstr>E1F</vt:lpstr>
      <vt:lpstr>E2F</vt:lpstr>
      <vt:lpstr>E3F</vt:lpstr>
      <vt:lpstr>MXQ</vt:lpstr>
      <vt:lpstr>NLC</vt:lpstr>
      <vt:lpstr>renegat</vt:lpstr>
      <vt:lpstr>RUNC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Афонин</dc:creator>
  <cp:lastModifiedBy>Иван Афонин</cp:lastModifiedBy>
  <dcterms:created xsi:type="dcterms:W3CDTF">2015-06-05T18:19:34Z</dcterms:created>
  <dcterms:modified xsi:type="dcterms:W3CDTF">2026-03-03T13:11:51Z</dcterms:modified>
</cp:coreProperties>
</file>